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Toelichting" sheetId="1" state="visible" r:id="rId1"/>
    <sheet xmlns:r="http://schemas.openxmlformats.org/officeDocument/2006/relationships" name="Portfolio" sheetId="2" state="visible" r:id="rId2"/>
    <sheet xmlns:r="http://schemas.openxmlformats.org/officeDocument/2006/relationships" name="Werkhypothesen" sheetId="3" state="visible" r:id="rId3"/>
    <sheet xmlns:r="http://schemas.openxmlformats.org/officeDocument/2006/relationships" name="Kaders" sheetId="4" state="visible" r:id="rId4"/>
    <sheet xmlns:r="http://schemas.openxmlformats.org/officeDocument/2006/relationships" name="Bouwstenen" sheetId="5" state="visible" r:id="rId5"/>
    <sheet xmlns:r="http://schemas.openxmlformats.org/officeDocument/2006/relationships" name="Relaties" sheetId="6" state="visible" r:id="rId6"/>
    <sheet xmlns:r="http://schemas.openxmlformats.org/officeDocument/2006/relationships" name="Analyse" sheetId="7" state="visible" r:id="rId7"/>
    <sheet xmlns:r="http://schemas.openxmlformats.org/officeDocument/2006/relationships" name="Ordeningskader" sheetId="8" state="visible" r:id="rId8"/>
    <sheet xmlns:r="http://schemas.openxmlformats.org/officeDocument/2006/relationships" name="Aanbieders" sheetId="9" state="visible" r:id="rId9"/>
    <sheet xmlns:r="http://schemas.openxmlformats.org/officeDocument/2006/relationships" name="Referentiearchitectuur" sheetId="10" state="visible" r:id="rId10"/>
  </sheets>
  <definedNames>
    <definedName name="_xlnm._FilterDatabase" localSheetId="1" hidden="1">'Portfolio'!$A$1:$AG$147</definedName>
    <definedName name="_xlnm._FilterDatabase" localSheetId="2" hidden="1">'Werkhypothesen'!$A$1:$F$29</definedName>
    <definedName name="_xlnm._FilterDatabase" localSheetId="3" hidden="1">'Kaders'!$A$1:$H$19</definedName>
    <definedName name="_xlnm._FilterDatabase" localSheetId="4" hidden="1">'Bouwstenen'!$A$1:$J$34</definedName>
    <definedName name="_xlnm._FilterDatabase" localSheetId="5" hidden="1">'Relaties'!$A$1:$G$215</definedName>
    <definedName name="_xlnm._FilterDatabase" localSheetId="7" hidden="1">'Ordeningskader'!$A$1:$D$39</definedName>
    <definedName name="_xlnm._FilterDatabase" localSheetId="8" hidden="1">'Aanbieders'!$A$1:$G$71</definedName>
    <definedName name="_xlnm._FilterDatabase" localSheetId="9" hidden="1">'Referentiearchitectuur'!$A$1:$F$53</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Calibri"/>
      <charset val="1"/>
      <family val="0"/>
      <b val="1"/>
      <color rgb="FF1F4E79"/>
      <sz val="14"/>
    </font>
    <font>
      <name val="Calibri"/>
      <charset val="1"/>
      <family val="0"/>
      <color rgb="FF000000"/>
      <sz val="11"/>
    </font>
    <font>
      <name val="Calibri"/>
      <charset val="1"/>
      <family val="0"/>
      <b val="1"/>
      <color rgb="FF1F4E79"/>
      <sz val="12"/>
    </font>
    <font>
      <name val="Calibri"/>
      <charset val="1"/>
      <family val="0"/>
      <b val="1"/>
      <color rgb="FFFFFFFF"/>
      <sz val="11"/>
    </font>
    <font>
      <name val="Calibri"/>
      <charset val="1"/>
      <family val="0"/>
      <sz val="11"/>
    </font>
    <font>
      <name val="Calibri"/>
      <charset val="1"/>
      <family val="0"/>
      <color rgb="FF808080"/>
      <sz val="8"/>
    </font>
  </fonts>
  <fills count="8">
    <fill>
      <patternFill/>
    </fill>
    <fill>
      <patternFill patternType="gray125"/>
    </fill>
    <fill>
      <patternFill patternType="solid">
        <fgColor rgb="FF1F4E79"/>
        <bgColor rgb="FF003366"/>
      </patternFill>
    </fill>
    <fill>
      <patternFill patternType="solid">
        <fgColor rgb="FF2E75B6"/>
        <bgColor rgb="FF0066CC"/>
      </patternFill>
    </fill>
    <fill>
      <patternFill patternType="solid">
        <fgColor rgb="FFFFF2CC"/>
        <bgColor rgb="FFE2EFDA"/>
      </patternFill>
    </fill>
    <fill>
      <patternFill patternType="solid">
        <fgColor rgb="FFF8CBAD"/>
        <bgColor rgb="FFFFE699"/>
      </patternFill>
    </fill>
    <fill>
      <patternFill patternType="solid">
        <fgColor rgb="FFFFE699"/>
        <bgColor rgb="FFFFF2CC"/>
      </patternFill>
    </fill>
    <fill>
      <patternFill patternType="solid">
        <fgColor rgb="FFE2EFDA"/>
        <bgColor rgb="FFFFF2CC"/>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9">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bottom"/>
    </xf>
    <xf numFmtId="0" fontId="8" fillId="0" borderId="0" applyAlignment="1" pivotButton="0" quotePrefix="0" xfId="0">
      <alignment horizontal="general" vertical="top" wrapText="1"/>
    </xf>
    <xf numFmtId="0" fontId="7" fillId="2" borderId="0" applyAlignment="1" pivotButton="0" quotePrefix="0" xfId="0">
      <alignment horizontal="general" vertical="center" wrapText="1"/>
    </xf>
    <xf numFmtId="0" fontId="7" fillId="3" borderId="0" applyAlignment="1" pivotButton="0" quotePrefix="0" xfId="0">
      <alignment horizontal="general" vertical="center" wrapText="1"/>
    </xf>
    <xf numFmtId="0" fontId="8" fillId="4" borderId="0" applyAlignment="1" pivotButton="0" quotePrefix="0" xfId="0">
      <alignment horizontal="general" vertical="top" wrapText="1"/>
    </xf>
    <xf numFmtId="0" fontId="8" fillId="5" borderId="0" applyAlignment="1" pivotButton="0" quotePrefix="0" xfId="0">
      <alignment horizontal="general" vertical="top" wrapText="1"/>
    </xf>
    <xf numFmtId="0" fontId="8" fillId="6" borderId="0" applyAlignment="1" pivotButton="0" quotePrefix="0" xfId="0">
      <alignment horizontal="general" vertical="top" wrapText="1"/>
    </xf>
    <xf numFmtId="0" fontId="8" fillId="7" borderId="0" applyAlignment="1" pivotButton="0" quotePrefix="0" xfId="0">
      <alignment horizontal="general" vertical="top" wrapText="1"/>
    </xf>
    <xf numFmtId="0" fontId="6" fillId="0" borderId="0" applyAlignment="1" pivotButton="0" quotePrefix="0" xfId="0">
      <alignment horizontal="general" vertical="bottom"/>
    </xf>
    <xf numFmtId="0" fontId="9"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2" borderId="0" applyAlignment="1" pivotButton="0" quotePrefix="0" xfId="0">
      <alignment horizontal="general" vertical="bottom"/>
    </xf>
    <xf numFmtId="0" fontId="8" fillId="0" borderId="0" applyAlignment="1" pivotButton="0" quotePrefix="0" xfId="0">
      <alignment horizontal="general" vertical="top" wrapText="1"/>
    </xf>
    <xf numFmtId="0" fontId="7" fillId="2" borderId="0" applyAlignment="1" pivotButton="0" quotePrefix="0" xfId="0">
      <alignment horizontal="general" vertical="center" wrapText="1"/>
    </xf>
    <xf numFmtId="0" fontId="7" fillId="3" borderId="0" applyAlignment="1" pivotButton="0" quotePrefix="0" xfId="0">
      <alignment horizontal="general" vertical="center" wrapText="1"/>
    </xf>
    <xf numFmtId="0" fontId="8" fillId="4" borderId="0" applyAlignment="1" pivotButton="0" quotePrefix="0" xfId="0">
      <alignment horizontal="general" vertical="top" wrapText="1"/>
    </xf>
    <xf numFmtId="0" fontId="8" fillId="5" borderId="0" applyAlignment="1" pivotButton="0" quotePrefix="0" xfId="0">
      <alignment horizontal="general" vertical="top" wrapText="1"/>
    </xf>
    <xf numFmtId="0" fontId="8" fillId="6" borderId="0" applyAlignment="1" pivotButton="0" quotePrefix="0" xfId="0">
      <alignment horizontal="general" vertical="top" wrapText="1"/>
    </xf>
    <xf numFmtId="0" fontId="8" fillId="7" borderId="0" applyAlignment="1" pivotButton="0" quotePrefix="0" xfId="0">
      <alignment horizontal="general" vertical="top" wrapText="1"/>
    </xf>
    <xf numFmtId="0" fontId="6" fillId="0" borderId="0" applyAlignment="1" pivotButton="0" quotePrefix="0" xfId="0">
      <alignment horizontal="general" vertical="bottom"/>
    </xf>
    <xf numFmtId="0" fontId="9"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1F4E79"/>
          <bgColor rgb="FF000000"/>
        </patternFill>
      </fill>
    </dxf>
    <dxf>
      <fill>
        <patternFill patternType="solid">
          <bgColor rgb="FF000000"/>
        </patternFill>
      </fill>
    </dxf>
    <dxf>
      <fill>
        <patternFill patternType="solid">
          <fgColor rgb="FFFFFFFF"/>
          <bgColor rgb="FF000000"/>
        </patternFill>
      </fill>
    </dxf>
    <dxf>
      <fill>
        <patternFill patternType="solid">
          <fgColor rgb="FFFFF2CC"/>
          <bgColor rgb="FF000000"/>
        </patternFill>
      </fill>
    </dxf>
    <dxf>
      <fill>
        <patternFill patternType="solid">
          <fgColor rgb="FF2E75B6"/>
          <bgColor rgb="FF000000"/>
        </patternFill>
      </fill>
    </dxf>
    <dxf>
      <fill>
        <patternFill patternType="solid">
          <fgColor rgb="FFE2EFDA"/>
          <bgColor rgb="FF000000"/>
        </patternFill>
      </fill>
    </dxf>
    <dxf>
      <fill>
        <patternFill patternType="solid">
          <fgColor rgb="FFF8CBAD"/>
          <bgColor rgb="FF000000"/>
        </patternFill>
      </fill>
    </dxf>
    <dxf>
      <fill>
        <patternFill patternType="solid">
          <fgColor rgb="FFFFE699"/>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E699"/>
      <rgbColor rgb="FF99CCFF"/>
      <rgbColor rgb="FFFF99CC"/>
      <rgbColor rgb="FFCC99FF"/>
      <rgbColor rgb="FFF8CBAD"/>
      <rgbColor rgb="FF2E75B6"/>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D6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14" customWidth="1" style="14" min="1" max="1"/>
    <col width="18" customWidth="1" style="14" min="2" max="2"/>
    <col width="28" customWidth="1" style="14" min="3" max="3"/>
    <col width="100" customWidth="1" style="14" min="4" max="4"/>
  </cols>
  <sheetData>
    <row r="1" ht="18.65" customHeight="1" s="15">
      <c r="A1" s="16" t="inlineStr">
        <is>
          <t>Register digital twins voor het energiesysteem en de gebouwde omgeving</t>
        </is>
      </c>
    </row>
    <row r="2" ht="30" customHeight="1" s="15">
      <c r="A2" s="17" t="inlineStr">
        <is>
          <t>Versie 12 · publieksversie · peildatum 21 oktober 2026 · opgesteld door M. van Glabbeek (Bizz4Mation) · Verkenner Digital Twins, Energy Innovation NL</t>
        </is>
      </c>
    </row>
    <row r="3" ht="30" customHeight="1" s="15">
      <c r="A3" s="17" t="inlineStr">
        <is>
          <t>Publieksversie; geen officiële publicatie van Energy Innovation NL. Interne werkonderdelen voor de verdiepende gesprekken (analysekader ter bespreking, verdiepingsvoorstel, verificatielijst, scope en prioriteit) zijn weggelaten, net als samenvattingen van bronnen met een voorbehoud tegen tekst- en datamining of verwerking met AI. Begeleidend bestand bij het rapport 'Digital twins voor het energiesysteem en de gebouwde omgeving' (versie 12, publieksversie).</t>
        </is>
      </c>
    </row>
    <row r="4" ht="15" customHeight="1" s="15">
      <c r="A4" s="17" t="n"/>
    </row>
    <row r="5" ht="15" customHeight="1" s="15">
      <c r="A5" s="18" t="inlineStr">
        <is>
          <t>Doel</t>
        </is>
      </c>
    </row>
    <row r="6" ht="60" customHeight="1" s="15">
      <c r="A6" s="17" t="inlineStr">
        <is>
          <t>Het register brengt 146 digital-twin-initiatieven in Nederland, Europa en een beknopte selectie daarbuiten in kaart, met de kaders en bouwstenen waarop ze aansluiten en hun onderlinge relaties. Het is de basis voor het portfolio-overzicht van de verkenning, voor het prototype van een interactieve kaart en voor de verdiepende gesprekken met initiatiefnemers.</t>
        </is>
      </c>
    </row>
    <row r="7" ht="15" customHeight="1" s="15">
      <c r="A7" s="17" t="n"/>
    </row>
    <row r="8" ht="15" customHeight="1" s="15">
      <c r="A8" s="18" t="inlineStr">
        <is>
          <t>Tabbladen</t>
        </is>
      </c>
    </row>
    <row r="9" ht="30" customHeight="1" s="15">
      <c r="A9" s="17" t="inlineStr">
        <is>
          <t>- Portfolio: alle initiatieven met ordeningsvelden, bron, coördinaten en (blauw) afgeleide velden zoals genormaliseerd twinniveau, inzetniveau, betrouwbaarheid van de duiding en scopevoorstel.</t>
        </is>
      </c>
    </row>
    <row r="10" ht="30" customHeight="1" s="15">
      <c r="A10" s="17" t="inlineStr">
        <is>
          <t>- Werkhypothesen: 29 hypothesen uit de horizontale analyse, met onderbouwing, initiatieven en zekerheid.</t>
        </is>
      </c>
    </row>
    <row r="11" ht="45" customHeight="1" s="15">
      <c r="A11" s="17" t="inlineStr">
        <is>
          <t>- Kaders, Bouwstenen, Relaties en Aanbieders: de objecten waarnaar initiatieven verwijzen.</t>
        </is>
      </c>
    </row>
    <row r="12" ht="30" customHeight="1" s="15">
      <c r="A12" s="17" t="inlineStr">
        <is>
          <t>- Analyse: tellingen met formules op het tabblad Portfolio (rijen 2 t/m 500); rekent mee als het portfolio wordt aangevuld.</t>
        </is>
      </c>
    </row>
    <row r="13" ht="45" customHeight="1" s="15">
      <c r="A13" s="17" t="inlineStr">
        <is>
          <t>- Ordeningskader: de waarden per dimensie.</t>
        </is>
      </c>
    </row>
    <row r="14" ht="15" customHeight="1" s="15">
      <c r="A14" s="17" t="inlineStr">
        <is>
          <t>- Referentiearchitectuur: de 52 componenten van de synthese-referentiearchitectuur (bijlage A van het rapport) per laag en band, met herkomst en voorbeeld-ID's, en het inzetspectrum.</t>
        </is>
      </c>
    </row>
    <row r="15" ht="30" customHeight="1" s="15">
      <c r="A15" s="17" t="n"/>
    </row>
    <row r="16" ht="15" customHeight="1" s="15">
      <c r="A16" s="18" t="inlineStr">
        <is>
          <t>Focus</t>
        </is>
      </c>
    </row>
    <row r="17" ht="30" customHeight="1" s="15">
      <c r="A17" s="17" t="inlineStr">
        <is>
          <t>- Energie: Richt zich op het energiesysteem zelf: netten, opwek, opslag, markt, warmte, gas/H2 of energiedata</t>
        </is>
      </c>
    </row>
    <row r="18" ht="15" customHeight="1" s="15">
      <c r="A18" s="17" t="inlineStr">
        <is>
          <t>- Energie + GO: Koppelt energie expliciet aan gebouwen, wijken of ruimtelijke planning</t>
        </is>
      </c>
    </row>
    <row r="19" ht="15" customHeight="1" s="15">
      <c r="A19" s="17" t="inlineStr">
        <is>
          <t>- GO: Gebouwde omgeving of ruimtelijke planning zonder expliciete energiefunctie</t>
        </is>
      </c>
    </row>
    <row r="20" ht="15" customHeight="1" s="15">
      <c r="A20" s="17" t="inlineStr">
        <is>
          <t>- Overig: Ander domein (water, mobiliteit, veiligheid, infra, klimaat) of generiek / sectoroverstijgend</t>
        </is>
      </c>
    </row>
    <row r="21" ht="15" customHeight="1" s="15">
      <c r="A21" s="17" t="n"/>
    </row>
    <row r="22" ht="15" customHeight="1" s="15">
      <c r="A22" s="18" t="inlineStr">
        <is>
          <t>Datamodel (voor het prototype)</t>
        </is>
      </c>
    </row>
    <row r="23" ht="15" customHeight="1" s="15">
      <c r="A23" s="17" t="inlineStr">
        <is>
          <t>Initiatief (tabblad Portfolio, sleutel ID): sluit aan op -&gt; Kader (tabblad Kaders, sleutel Code), via kolom Kadercodes.</t>
        </is>
      </c>
    </row>
    <row r="24" ht="15" customHeight="1" s="15">
      <c r="A24" s="17" t="inlineStr">
        <is>
          <t>Initiatief: gebruikt -&gt; Bouwsteen (tabblad Bouwstenen, sleutel Code), via kolom Bouwsteencodes.</t>
        </is>
      </c>
    </row>
    <row r="25" ht="15" customHeight="1" s="15">
      <c r="A25" s="17" t="inlineStr">
        <is>
          <t>Initiatief: relatie -&gt; Initiatief (tabblad Relaties). Relaties met kaders en bouwstenen worden uit de codes afgeleid.</t>
        </is>
      </c>
    </row>
    <row r="26" ht="30" customHeight="1" s="15">
      <c r="A26" s="17" t="inlineStr">
        <is>
          <t>Filters in het prototype: focus, functie, schaal, volwassenheid, kader en land. Coördinaten zijn indicatief (vestiging van de trekker).</t>
        </is>
      </c>
    </row>
    <row r="27" ht="15" customHeight="1" s="15">
      <c r="A27" s="17" t="n"/>
    </row>
    <row r="28" ht="30" customHeight="1" s="15">
      <c r="A28" s="18" t="inlineStr">
        <is>
          <t>Nummering en categorieën</t>
        </is>
      </c>
    </row>
    <row r="29" ht="30" customHeight="1" s="15">
      <c r="A29" s="17" t="inlineStr">
        <is>
          <t>ID: elk initiatief heeft een vast volgnummer (DT-001, DT-002, ...). Het nummer zegt niets over het soort initiatief of de plaats in het register; een nieuw initiatief krijgt het eerstvolgende vrije nummer en een nummer wordt nooit hergebruikt. Het soort initiatief staat in de kolommen Categoriecode en Categorie:</t>
        </is>
      </c>
    </row>
    <row r="30" ht="15" customHeight="1" s="15">
      <c r="A30" s="17" t="inlineStr">
        <is>
          <t>- K = Kader: Beleid, programma, standaard of afsprakenstelsel waarop initiatieven aansluiten (NL en EU).</t>
        </is>
      </c>
    </row>
    <row r="31" ht="15" customHeight="1" s="15">
      <c r="A31" s="17" t="inlineStr">
        <is>
          <t>- R = Faciliteit of R&amp;D (NL): Nationale faciliteit, onderzoeksprogramma of testomgeving in Nederland.</t>
        </is>
      </c>
    </row>
    <row r="32" ht="45" customHeight="1" s="15">
      <c r="A32" s="17" t="inlineStr">
        <is>
          <t>- T = Twin-instantie (NL): Een concrete digital twin van een net, gebied, gebouw of systeem in Nederland.</t>
        </is>
      </c>
    </row>
    <row r="33" ht="15" customHeight="1" s="15">
      <c r="A33" s="17" t="inlineStr">
        <is>
          <t>- B = Bouwsteen of data-infrastructuur (NL): Herbruikbaar model, dataset, platform of datadeelvoorziening in Nederland.</t>
        </is>
      </c>
    </row>
    <row r="34" ht="15" customHeight="1" s="15">
      <c r="A34" s="17" t="inlineStr">
        <is>
          <t>- C = Samenwerking of kennis (NL): Netwerk, ecosysteem, kennisproject of verkenning in Nederland.</t>
        </is>
      </c>
    </row>
    <row r="35" ht="30" customHeight="1" s="15">
      <c r="A35" s="17" t="inlineStr">
        <is>
          <t>- E = EU-breed programma of netwerk: Europees project, programma of netwerk met partners uit meerdere lidstaten.</t>
        </is>
      </c>
    </row>
    <row r="36" ht="30" customHeight="1" s="15">
      <c r="A36" s="17" t="inlineStr">
        <is>
          <t>- L = Initiatief in een EU/EER-lidstaat: Initiatief in één andere lidstaat van de EU of de EER.</t>
        </is>
      </c>
    </row>
    <row r="37" ht="15" customHeight="1" s="15">
      <c r="A37" s="17" t="inlineStr">
        <is>
          <t>- I = Internationaal (buiten de EU): Initiatief buiten de EU, uit de beknopte internationale verkenning.</t>
        </is>
      </c>
    </row>
    <row r="38" ht="30" customHeight="1" s="15">
      <c r="A38" s="17" t="n"/>
    </row>
    <row r="39" ht="15" customHeight="1" s="15">
      <c r="A39" s="18" t="inlineStr">
        <is>
          <t>Werkwijze en status</t>
        </is>
      </c>
    </row>
    <row r="40" ht="15" customHeight="1" s="15">
      <c r="A40" s="17" t="inlineStr">
        <is>
          <t>Duiding is voorlopig en gebaseerd op documentanalyse en webbronnen. Geen enkele duiding is al door een initiatiefnemer bevestigd.</t>
        </is>
      </c>
    </row>
    <row r="41" ht="15" customHeight="1" s="15">
      <c r="A41" s="17" t="inlineStr">
        <is>
          <t>Afgeleide velden (blauwe kop) zijn met vaste regels uit de bestaande velden bepaald en worden bij verificatie gecontroleerd.</t>
        </is>
      </c>
    </row>
    <row r="42" ht="30" customHeight="1" s="15">
      <c r="A42" s="17" t="inlineStr">
        <is>
          <t>Duidingen worden gevalideerd met initiatiefnemers en een expertgroep; reacties op het register zijn welkom.</t>
        </is>
      </c>
    </row>
    <row r="43" ht="15" customHeight="1" s="15">
      <c r="A43" s="17" t="inlineStr">
        <is>
          <t>De kolom 'Opgenomen in versie' is administratieve metadata: de versie waarin een initiatief in het register is opgenomen.</t>
        </is>
      </c>
    </row>
    <row r="44" ht="15" customHeight="1" s="15">
      <c r="A44" s="17" t="n"/>
    </row>
    <row r="45" ht="30" customHeight="1" s="15">
      <c r="A45" s="18" t="inlineStr">
        <is>
          <t>Versiegeschiedenis</t>
        </is>
      </c>
    </row>
    <row r="46" ht="30" customHeight="1" s="15">
      <c r="A46" s="19" t="inlineStr">
        <is>
          <t>Versie</t>
        </is>
      </c>
      <c r="B46" s="19" t="inlineStr">
        <is>
          <t>Datum</t>
        </is>
      </c>
      <c r="C46" s="19" t="inlineStr">
        <is>
          <t>Auteur</t>
        </is>
      </c>
      <c r="D46" s="19" t="inlineStr">
        <is>
          <t>Omschrijving</t>
        </is>
      </c>
    </row>
    <row r="47" ht="45" customHeight="1" s="15">
      <c r="A47" s="20" t="inlineStr">
        <is>
          <t>1</t>
        </is>
      </c>
      <c r="B47" s="20" t="inlineStr">
        <is>
          <t>september 2026</t>
        </is>
      </c>
      <c r="C47" s="20" t="inlineStr">
        <is>
          <t>M. van Glabbeek (Bizz4Mation)</t>
        </is>
      </c>
      <c r="D47" s="20" t="inlineStr">
        <is>
          <t>Eerste inventarisatie van digital-twin-initiatieven in Nederland en de EU voor de gebouwde omgeving en het energiedomein.</t>
        </is>
      </c>
    </row>
    <row r="48" ht="60" customHeight="1" s="15">
      <c r="A48" s="20" t="inlineStr">
        <is>
          <t>2</t>
        </is>
      </c>
      <c r="B48" s="20" t="inlineStr">
        <is>
          <t>september 2026</t>
        </is>
      </c>
      <c r="C48" s="20" t="inlineStr">
        <is>
          <t>M. van Glabbeek (Bizz4Mation)</t>
        </is>
      </c>
      <c r="D48" s="20" t="inlineStr">
        <is>
          <t>Inventarisatie aangevuld en herzien.</t>
        </is>
      </c>
    </row>
    <row r="49" ht="30" customHeight="1" s="15">
      <c r="A49" s="20" t="inlineStr">
        <is>
          <t>3</t>
        </is>
      </c>
      <c r="B49" s="20" t="inlineStr">
        <is>
          <t>september 2026</t>
        </is>
      </c>
      <c r="C49" s="20" t="inlineStr">
        <is>
          <t>M. van Glabbeek (Bizz4Mation)</t>
        </is>
      </c>
      <c r="D49" s="20" t="inlineStr">
        <is>
          <t>Breed register gebouwde omgeving en energie in een apart tabblad (Register GO).</t>
        </is>
      </c>
    </row>
    <row r="50" ht="45" customHeight="1" s="15">
      <c r="A50" s="20" t="inlineStr">
        <is>
          <t>4</t>
        </is>
      </c>
      <c r="B50" s="20" t="inlineStr">
        <is>
          <t>oktober 2026</t>
        </is>
      </c>
      <c r="C50" s="20" t="inlineStr">
        <is>
          <t>M. van Glabbeek (Bizz4Mation)</t>
        </is>
      </c>
      <c r="D50" s="20" t="inlineStr">
        <is>
          <t>Portfolio energie geordend naar rol, functie, schaal, twinniveau en volwassenheid; koppeling aan ADE, NPE, NEDRA en Europese kaders; uitwerking voor de concept-verkenning.</t>
        </is>
      </c>
    </row>
    <row r="51" ht="60" customHeight="1" s="15">
      <c r="A51" s="20" t="inlineStr">
        <is>
          <t>5</t>
        </is>
      </c>
      <c r="B51" s="20" t="inlineStr">
        <is>
          <t>oktober 2026</t>
        </is>
      </c>
      <c r="C51" s="20" t="inlineStr">
        <is>
          <t>M. van Glabbeek (Bizz4Mation)</t>
        </is>
      </c>
      <c r="D51" s="20" t="inlineStr">
        <is>
          <t>Zoekgebied verbreed naar EU-breed en een beknopte verkenning van VK, VS, Australië, Japan en Nieuw-Zeeland, conform de offerte van 7 oktober 2026; tabbladen Kaders, Bouwstenen, Relaties en Analyse; coördinaten; artikel van het Nationaal Expertisecentrum Woningbouw verwerkt.</t>
        </is>
      </c>
    </row>
    <row r="52" ht="41.75" customHeight="1" s="15">
      <c r="A52" s="20" t="inlineStr">
        <is>
          <t>6</t>
        </is>
      </c>
      <c r="B52" s="20" t="inlineStr">
        <is>
          <t>oktober 2026</t>
        </is>
      </c>
      <c r="C52" s="20" t="inlineStr">
        <is>
          <t>M. van Glabbeek (Bizz4Mation)</t>
        </is>
      </c>
      <c r="D52" s="20" t="inlineStr">
        <is>
          <t>Register GO samengevoegd met het portfolio (29 initiatieven toegevoegd); focus Kern/Rand vervangen door Energie, Energie + GO, GO en Overig; rapport en register op hetzelfde versienummer.</t>
        </is>
      </c>
    </row>
    <row r="53" ht="55.2" customHeight="1" s="15">
      <c r="A53" s="20" t="inlineStr">
        <is>
          <t>7</t>
        </is>
      </c>
      <c r="B53" s="20" t="inlineStr">
        <is>
          <t>oktober 2026</t>
        </is>
      </c>
      <c r="C53" s="20" t="inlineStr">
        <is>
          <t>M. van Glabbeek (Bizz4Mation)</t>
        </is>
      </c>
      <c r="D53" s="20" t="inlineStr">
        <is>
          <t>18 initiatieven, 7 bouwstenen en 3 aanbieders toegevoegd uit het rapport Data governance en data delen in het energiedomein (2026); bronlinks aangevuld uit het GitHub-overzicht energie-data/energy-data-governance-project-overview; statussen gecorrigeerd.</t>
        </is>
      </c>
    </row>
    <row r="54">
      <c r="A54" s="20" t="inlineStr">
        <is>
          <t>8</t>
        </is>
      </c>
      <c r="B54" s="20" t="inlineStr">
        <is>
          <t>oktober 2026</t>
        </is>
      </c>
      <c r="C54" s="20" t="inlineStr">
        <is>
          <t>M. van Glabbeek (Bizz4Mation)</t>
        </is>
      </c>
      <c r="D54" s="20" t="inlineStr">
        <is>
          <t>Bijlage synthese-referentiearchitectuur digitale tweelingen toegevoegd, gebaseerd op DTFL en andere referentiearchitecturen; register met tabblad Referentiearchitectuur.</t>
        </is>
      </c>
    </row>
    <row r="55">
      <c r="A55" s="20" t="inlineStr">
        <is>
          <t>9</t>
        </is>
      </c>
      <c r="B55" s="20" t="inlineStr">
        <is>
          <t>19 oktober 2026</t>
        </is>
      </c>
      <c r="C55" s="20" t="inlineStr">
        <is>
          <t>M. van Glabbeek (Bizz4Mation)</t>
        </is>
      </c>
      <c r="D55" s="20" t="inlineStr">
        <is>
          <t>Voorbereiding van de verdiepende gesprekken: samenwerking en deliverables, analysekader ter bespreking, horizontale analyse met 27 werkhypothesen, scopevoorstel, informatiebehoefte per initiatief en interviewinput; afgeleide velden, verificatielijst en tabbladen in het register.</t>
        </is>
      </c>
    </row>
    <row r="56">
      <c r="A56" s="20" t="inlineStr">
        <is>
          <t>10</t>
        </is>
      </c>
      <c r="B56" s="20" t="inlineStr">
        <is>
          <t>19 oktober 2026</t>
        </is>
      </c>
      <c r="C56" s="20" t="inlineStr">
        <is>
          <t>M. van Glabbeek (Bizz4Mation)</t>
        </is>
      </c>
      <c r="D56" s="20" t="inlineStr">
        <is>
          <t>Redactie volgens de NEDRA-schrijfwijzer: tekst zelfstandig leesbaar gemaakt, verwijzingen naar eerdere versies en wijzigingsaanleidingen naar deze versiegeschiedenis verplaatst, persoonsnamen vervangen door rollen, derde persoon; versiegeschiedenis en afkortingenlijst toegevoegd; NLDT en ORTESE voluit.</t>
        </is>
      </c>
    </row>
    <row r="57">
      <c r="A57" s="20" t="inlineStr">
        <is>
          <t>11</t>
        </is>
      </c>
      <c r="B57" s="20" t="inlineStr">
        <is>
          <t>21 oktober 2026</t>
        </is>
      </c>
      <c r="C57" s="20" t="inlineStr">
        <is>
          <t>M. van Glabbeek (Bizz4Mation)</t>
        </is>
      </c>
      <c r="D57" s="20" t="inlineStr">
        <is>
          <t>Drie bronnen verwerkt: call for proposals KIC NWO-TenneT-Topsector Energie, Datastrategie digital twins voor een toekomstig energiesysteem (RVO, 2026) en projectpagina Impactanalyse Digital Twins. DT-010 en DT-027 toegevoegd; DT-013 en DT-087 geverifieerd en aangevuld; H07 en H23 bijgesteld.</t>
        </is>
      </c>
    </row>
    <row r="58">
      <c r="A58" s="20" t="inlineStr">
        <is>
          <t>12</t>
        </is>
      </c>
      <c r="B58" s="20" t="inlineStr">
        <is>
          <t>21 oktober 2026</t>
        </is>
      </c>
      <c r="C58" s="20" t="inlineStr">
        <is>
          <t>M. van Glabbeek (Bizz4Mation)</t>
        </is>
      </c>
      <c r="D58" s="20" t="inlineStr">
        <is>
          <t>Vier bronnen verwerkt: volledige tekst ADE, CDO-inventarisatie data-ecosystemen (Geonovum), DDTAS-verkenning (WE Labs) en presentatie investeringsvoorstel nDTFL. DT-011, DT-096, DT-097, DT-062 en DT-082 tot en met DT-085 toegevoegd; kader DSSC en zes bouwstenen; DT-002, DT-092 en DT-009 aangevuld; H13, H21, H24, H25 en H27 bijgesteld, H28 toegevoegd. Publieksversie zonder interne werkonderdelen en zonder samenvattingen van bronnen met een voorbehoud tegen tekst- en datamining of verwerking met AI.</t>
        </is>
      </c>
    </row>
    <row r="59">
      <c r="A59" s="20" t="inlineStr">
        <is>
          <t>13</t>
        </is>
      </c>
      <c r="B59" s="20" t="inlineStr">
        <is>
          <t>26 oktober 2026</t>
        </is>
      </c>
      <c r="C59" s="20" t="inlineStr">
        <is>
          <t>M. van Glabbeek (Bizz4Mation)</t>
        </is>
      </c>
      <c r="D59" s="20" t="inlineStr">
        <is>
          <t>Initiatieven doorlopend genummerd (DT-001 tot en met DT-145) in de volgorde van het register; de lettercode staat als categorie in de kolommen Categoriecode en Categorie, met een legenda.</t>
        </is>
      </c>
    </row>
    <row r="60">
      <c r="A60" s="20" t="inlineStr">
        <is>
          <t>14</t>
        </is>
      </c>
      <c r="B60" s="20" t="inlineStr">
        <is>
          <t>26 oktober 2026</t>
        </is>
      </c>
      <c r="C60" s="20" t="inlineStr">
        <is>
          <t>M. van Glabbeek (Bizz4Mation)</t>
        </is>
      </c>
      <c r="D60" s="20" t="inlineStr">
        <is>
          <t>Initiatief DT-146 (HOLON) en bouwsteen Holonic Graph Architecture opgenomen; DT-014 uitgebreid met de netsimulatie van het ESP-lab DT-048 met de aanbesteding en opbouw van het Open Urban Platform en DT-091 met de How-to-digital-twin-methode van DMI; werkhypothese H29 (holarchie); bronnen: Holontool, rapport Holons (2026), A Digital Energy System v0.83 (2026), EPRI (2022) en smart-city-platforms.</t>
        </is>
      </c>
    </row>
  </sheetData>
  <mergeCells count="45">
    <mergeCell ref="A5:D5"/>
    <mergeCell ref="A17:D17"/>
    <mergeCell ref="A23:D23"/>
    <mergeCell ref="A8:D8"/>
    <mergeCell ref="A22:D22"/>
    <mergeCell ref="A35:D35"/>
    <mergeCell ref="A4:D4"/>
    <mergeCell ref="A20:D20"/>
    <mergeCell ref="A38:D38"/>
    <mergeCell ref="A29:D29"/>
    <mergeCell ref="A43:D43"/>
    <mergeCell ref="A19:D19"/>
    <mergeCell ref="A10:D10"/>
    <mergeCell ref="A28:D28"/>
    <mergeCell ref="A13:D13"/>
    <mergeCell ref="A44:D44"/>
    <mergeCell ref="A40:D40"/>
    <mergeCell ref="A9:D9"/>
    <mergeCell ref="A31:D31"/>
    <mergeCell ref="A34:D34"/>
    <mergeCell ref="A30:D30"/>
    <mergeCell ref="A39:D39"/>
    <mergeCell ref="A15:D15"/>
    <mergeCell ref="A24:D24"/>
    <mergeCell ref="A11:D11"/>
    <mergeCell ref="A36:D36"/>
    <mergeCell ref="A1:D1"/>
    <mergeCell ref="A45:D45"/>
    <mergeCell ref="A6:D6"/>
    <mergeCell ref="A7:D7"/>
    <mergeCell ref="A25:D25"/>
    <mergeCell ref="A41:D41"/>
    <mergeCell ref="A16:D16"/>
    <mergeCell ref="A37:D37"/>
    <mergeCell ref="A18:D18"/>
    <mergeCell ref="A27:D27"/>
    <mergeCell ref="A12:D12"/>
    <mergeCell ref="A3:D3"/>
    <mergeCell ref="A21:D21"/>
    <mergeCell ref="A26:D26"/>
    <mergeCell ref="A2:D2"/>
    <mergeCell ref="A33:D33"/>
    <mergeCell ref="A42:D42"/>
    <mergeCell ref="A32:D32"/>
    <mergeCell ref="A14:D1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AG147"/>
  <sheetViews>
    <sheetView showFormulas="0" showGridLines="1" showRowColHeaders="1" showZeros="1" rightToLeft="0" tabSelected="0" showOutlineSymbols="1" defaultGridColor="1" view="normal" topLeftCell="A1" colorId="64" zoomScale="100" zoomScaleNormal="100" zoomScalePageLayoutView="100" workbookViewId="0">
      <pane xSplit="4" ySplit="1" topLeftCell="E2" activePane="bottomRight" state="frozen"/>
      <selection pane="topRight" activeCell="A1" sqref="A1"/>
      <selection pane="bottomLeft" activeCell="A1" sqref="A1"/>
      <selection pane="bottomRigh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9" customWidth="1" style="14" min="1" max="1"/>
    <col width="11" customWidth="1" style="14" min="2" max="2"/>
    <col width="30" customWidth="1" style="14" min="3" max="3"/>
    <col width="44" customWidth="1" style="14" min="4" max="4"/>
    <col width="8" customWidth="1" style="14" min="5" max="5"/>
    <col width="13" customWidth="1" style="14" min="6" max="6"/>
    <col width="7" customWidth="1" style="14" min="7" max="7"/>
    <col width="20" customWidth="1" style="14" min="8" max="8"/>
    <col width="22" customWidth="1" style="14" min="9" max="9"/>
    <col width="30" customWidth="1" style="14" min="10" max="10"/>
    <col width="22" customWidth="1" style="14" min="11" max="11"/>
    <col width="16" customWidth="1" style="14" min="12" max="12"/>
    <col width="18" customWidth="1" style="14" min="13" max="13"/>
    <col width="16" customWidth="1" style="14" min="14" max="14"/>
    <col width="26" customWidth="1" style="14" min="15" max="15"/>
    <col width="20" customWidth="1" style="14" min="16" max="16"/>
    <col width="24" customWidth="1" style="14" min="17" max="17"/>
    <col width="40" customWidth="1" style="14" min="18" max="18"/>
    <col width="28" customWidth="1" style="14" min="19" max="19"/>
    <col width="44" customWidth="1" style="14" min="20" max="20"/>
    <col width="46" customWidth="1" style="14" min="21" max="22"/>
    <col width="40" customWidth="1" style="15" min="22" max="22"/>
    <col width="10" customWidth="1" style="14" min="23" max="23"/>
    <col width="11" customWidth="1" style="14" min="24" max="24"/>
    <col width="8" customWidth="1" style="14" min="25" max="25"/>
    <col width="11" customWidth="1" style="14" min="26" max="34"/>
    <col width="30" customWidth="1" style="15" min="27" max="27"/>
    <col width="22" customWidth="1" style="15" min="28" max="28"/>
  </cols>
  <sheetData>
    <row r="1" ht="31.5" customHeight="1" s="15">
      <c r="A1" s="21" t="inlineStr">
        <is>
          <t>ID</t>
        </is>
      </c>
      <c r="B1" s="21" t="inlineStr">
        <is>
          <t>Categoriecode</t>
        </is>
      </c>
      <c r="C1" s="21" t="inlineStr">
        <is>
          <t>Categorie</t>
        </is>
      </c>
      <c r="D1" s="21" t="inlineStr">
        <is>
          <t>Initiatief</t>
        </is>
      </c>
      <c r="E1" s="21" t="inlineStr">
        <is>
          <t>Focus</t>
        </is>
      </c>
      <c r="F1" s="21" t="inlineStr">
        <is>
          <t>Gebied</t>
        </is>
      </c>
      <c r="G1" s="21" t="inlineStr">
        <is>
          <t>Land</t>
        </is>
      </c>
      <c r="H1" s="21" t="inlineStr">
        <is>
          <t>Rol in ecosysteem</t>
        </is>
      </c>
      <c r="I1" s="21" t="inlineStr">
        <is>
          <t>Primaire functie</t>
        </is>
      </c>
      <c r="J1" s="21" t="inlineStr">
        <is>
          <t>Overige functies</t>
        </is>
      </c>
      <c r="K1" s="21" t="inlineStr">
        <is>
          <t>Schaalniveau</t>
        </is>
      </c>
      <c r="L1" s="21" t="inlineStr">
        <is>
          <t>Twinniveau</t>
        </is>
      </c>
      <c r="M1" s="21" t="inlineStr">
        <is>
          <t>Energiedrager</t>
        </is>
      </c>
      <c r="N1" s="21" t="inlineStr">
        <is>
          <t>Volwassenheid</t>
        </is>
      </c>
      <c r="O1" s="21" t="inlineStr">
        <is>
          <t>Kaders (aansluiting)</t>
        </is>
      </c>
      <c r="P1" s="21" t="inlineStr">
        <is>
          <t>Kadercodes</t>
        </is>
      </c>
      <c r="Q1" s="21" t="inlineStr">
        <is>
          <t>Bouwsteencodes</t>
        </is>
      </c>
      <c r="R1" s="21" t="inlineStr">
        <is>
          <t>Trekker / partners</t>
        </is>
      </c>
      <c r="S1" s="21" t="inlineStr">
        <is>
          <t>NL-betrokkenheid</t>
        </is>
      </c>
      <c r="T1" s="21" t="inlineStr">
        <is>
          <t>Status (okt. 2026)</t>
        </is>
      </c>
      <c r="U1" s="21" t="inlineStr">
        <is>
          <t>Herbruikbaar / les voor NL (hypothese)</t>
        </is>
      </c>
      <c r="V1" s="21" t="inlineStr">
        <is>
          <t>Bron</t>
        </is>
      </c>
      <c r="W1" s="21" t="inlineStr">
        <is>
          <t>Breedtegraad</t>
        </is>
      </c>
      <c r="X1" s="21" t="inlineStr">
        <is>
          <t>Lengtegraad</t>
        </is>
      </c>
      <c r="Y1" s="21" t="inlineStr">
        <is>
          <t>Opgenomen in versie</t>
        </is>
      </c>
      <c r="Z1" s="21" t="inlineStr">
        <is>
          <t>Gevalideerd? (ja/nee)</t>
        </is>
      </c>
      <c r="AA1" s="22" t="inlineStr">
        <is>
          <t>Scope (RA)</t>
        </is>
      </c>
      <c r="AB1" s="22" t="inlineStr">
        <is>
          <t>Twinniveau (genormaliseerd)</t>
        </is>
      </c>
      <c r="AC1" s="22" t="inlineStr">
        <is>
          <t>Twinstatus</t>
        </is>
      </c>
      <c r="AD1" s="22" t="inlineStr">
        <is>
          <t>Inzetniveau (afgeleid)</t>
        </is>
      </c>
      <c r="AE1" s="22" t="inlineStr">
        <is>
          <t>Energiedragers (genormaliseerd)</t>
        </is>
      </c>
      <c r="AF1" s="22" t="inlineStr">
        <is>
          <t>NL-rol (genormaliseerd)</t>
        </is>
      </c>
      <c r="AG1" s="22" t="inlineStr">
        <is>
          <t>Betrouwbaarheid duiding</t>
        </is>
      </c>
    </row>
    <row r="2" ht="55.2" customHeight="1" s="15">
      <c r="A2" s="20" t="inlineStr">
        <is>
          <t>DT-001</t>
        </is>
      </c>
      <c r="B2" s="20" t="inlineStr">
        <is>
          <t>K</t>
        </is>
      </c>
      <c r="C2" s="20" t="inlineStr">
        <is>
          <t>Kader</t>
        </is>
      </c>
      <c r="D2" s="20" t="inlineStr">
        <is>
          <t>Nationaal Plan Energiesysteem (NPE), actualisatie 2026</t>
        </is>
      </c>
      <c r="E2" s="20" t="inlineStr">
        <is>
          <t>Energie</t>
        </is>
      </c>
      <c r="F2" s="20" t="inlineStr">
        <is>
          <t>NL</t>
        </is>
      </c>
      <c r="G2" s="20" t="inlineStr">
        <is>
          <t>NL</t>
        </is>
      </c>
      <c r="H2" s="20" t="inlineStr">
        <is>
          <t>Kader</t>
        </is>
      </c>
      <c r="I2" s="20" t="inlineStr">
        <is>
          <t>Scenario &amp; planning</t>
        </is>
      </c>
      <c r="J2" s="20" t="inlineStr">
        <is>
          <t>Gezamenlijke besluitvorming</t>
        </is>
      </c>
      <c r="K2" s="20" t="inlineStr">
        <is>
          <t>Net / nationaal systeem</t>
        </is>
      </c>
      <c r="L2" s="20" t="inlineStr">
        <is>
          <t>n.v.t.</t>
        </is>
      </c>
      <c r="M2" s="20" t="inlineStr">
        <is>
          <t>Alle</t>
        </is>
      </c>
      <c r="N2" s="20" t="inlineStr">
        <is>
          <t>n.v.t.</t>
        </is>
      </c>
      <c r="O2" s="20" t="inlineStr">
        <is>
          <t>NPE</t>
        </is>
      </c>
      <c r="P2" s="20" t="inlineStr">
        <is>
          <t>NPE</t>
        </is>
      </c>
      <c r="Q2" s="20" t="n"/>
      <c r="R2" s="20" t="inlineStr">
        <is>
          <t>Ministerie EZK/KGG</t>
        </is>
      </c>
      <c r="S2" s="20" t="inlineStr">
        <is>
          <t>Opsteller</t>
        </is>
      </c>
      <c r="T2" s="20" t="inlineStr">
        <is>
          <t>Actualisatie gepubliceerd 15-9-2026</t>
        </is>
      </c>
      <c r="U2" s="20" t="inlineStr">
        <is>
          <t>Richtinggevend kader; noemt innovatie randvoorwaarde voor systeemvraagstukken (netcongestie, weerbaarheid)</t>
        </is>
      </c>
      <c r="V2" s="20" t="inlineStr">
        <is>
          <t>https://energy-innovation.nl/nl/nieuws/uitdagingen-energiesysteem-vragen-om-gerichte-inzet-van-innovatie/</t>
        </is>
      </c>
      <c r="W2" s="20" t="n">
        <v>52.08</v>
      </c>
      <c r="X2" s="20" t="n">
        <v>4.31</v>
      </c>
      <c r="Y2" s="20" t="inlineStr">
        <is>
          <t>v4 of eerder</t>
        </is>
      </c>
      <c r="Z2" s="23" t="inlineStr">
        <is>
          <t>nee</t>
        </is>
      </c>
      <c r="AA2" s="20" t="inlineStr">
        <is>
          <t>Ecosysteem</t>
        </is>
      </c>
      <c r="AB2" s="20" t="inlineStr">
        <is>
          <t>n.v.t.</t>
        </is>
      </c>
      <c r="AC2" s="20" t="inlineStr">
        <is>
          <t>n.v.t.</t>
        </is>
      </c>
      <c r="AD2" s="20" t="inlineStr">
        <is>
          <t>-</t>
        </is>
      </c>
      <c r="AE2" s="20" t="inlineStr">
        <is>
          <t>Elektriciteit; Gas; Waterstof; Warmte/koude (multi-commodity)</t>
        </is>
      </c>
      <c r="AF2" s="20" t="inlineStr">
        <is>
          <t>Trekker/eigenaar</t>
        </is>
      </c>
      <c r="AG2" s="20" t="inlineStr">
        <is>
          <t>B primaire bron</t>
        </is>
      </c>
    </row>
    <row r="3" ht="95.5" customHeight="1" s="15">
      <c r="A3" s="20" t="inlineStr">
        <is>
          <t>DT-002</t>
        </is>
      </c>
      <c r="B3" s="20" t="inlineStr">
        <is>
          <t>K</t>
        </is>
      </c>
      <c r="C3" s="20" t="inlineStr">
        <is>
          <t>Kader</t>
        </is>
      </c>
      <c r="D3" s="20" t="inlineStr">
        <is>
          <t>Actieagenda Digitalisering Energiesysteem (ADE)</t>
        </is>
      </c>
      <c r="E3" s="20" t="inlineStr">
        <is>
          <t>Energie</t>
        </is>
      </c>
      <c r="F3" s="20" t="inlineStr">
        <is>
          <t>NL</t>
        </is>
      </c>
      <c r="G3" s="20" t="inlineStr">
        <is>
          <t>NL</t>
        </is>
      </c>
      <c r="H3" s="20" t="inlineStr">
        <is>
          <t>Kader</t>
        </is>
      </c>
      <c r="I3" s="20" t="inlineStr">
        <is>
          <t>Inzicht &amp; monitoring</t>
        </is>
      </c>
      <c r="J3" s="20" t="inlineStr">
        <is>
          <t>Scenario &amp; planning, Sturing &amp; optimalisatie, Gezamenlijke besluitvorming</t>
        </is>
      </c>
      <c r="K3" s="20" t="inlineStr">
        <is>
          <t>Net / nationaal systeem</t>
        </is>
      </c>
      <c r="L3" s="20" t="inlineStr">
        <is>
          <t>n.v.t.</t>
        </is>
      </c>
      <c r="M3" s="20" t="inlineStr">
        <is>
          <t>Elektriciteit</t>
        </is>
      </c>
      <c r="N3" s="20" t="inlineStr">
        <is>
          <t>n.v.t.</t>
        </is>
      </c>
      <c r="O3" s="20" t="inlineStr">
        <is>
          <t>ADE; NPE</t>
        </is>
      </c>
      <c r="P3" s="20" t="inlineStr">
        <is>
          <t>ADE;NPE</t>
        </is>
      </c>
      <c r="Q3" s="20" t="n"/>
      <c r="R3" s="20" t="inlineStr">
        <is>
          <t>KGG en TNO (opstellers); programmaregie Energy Innovation NL</t>
        </is>
      </c>
      <c r="S3" s="20" t="inlineStr">
        <is>
          <t>Opsteller</t>
        </is>
      </c>
      <c r="T3" s="20" t="inlineStr">
        <is>
          <t>Gepubliceerd 11-12-2025; uitvoering sinds Q1 2026 via programma Digitalisering (EUR 250 duizend per jaar); 5 thema's, 12 actielijnen, 29 acties; scope alleen elektriciteit</t>
        </is>
      </c>
      <c r="U3" s="20" t="inlineStr">
        <is>
          <t>Actie 1.1.3 digital twin elektriciteitssysteem (KIC, kwartiermaker Faciliteit, decentrale twins); 1.1.4 eisen simulatie-tooling; 1.2.1 energiedata-ecosysteem (o.a. TenneT Digital Spine); 2.2.2 blauwdruk digitale coördinatie; 4.1.2 referentiearchitectuur (alleen data-uitwisseling); 5.1.1 planningsmodellen</t>
        </is>
      </c>
      <c r="V3" s="20" t="inlineStr">
        <is>
          <t>https://www.tno.nl/nl/newsroom/2025/12/overheid-tno-topsector-energie-lanceren/</t>
        </is>
      </c>
      <c r="W3" s="20" t="n">
        <v>52.08</v>
      </c>
      <c r="X3" s="20" t="n">
        <v>4.31</v>
      </c>
      <c r="Y3" s="20" t="inlineStr">
        <is>
          <t>v4 of eerder</t>
        </is>
      </c>
      <c r="Z3" s="23" t="inlineStr">
        <is>
          <t>nee</t>
        </is>
      </c>
      <c r="AA3" s="20" t="inlineStr">
        <is>
          <t>Ecosysteem</t>
        </is>
      </c>
      <c r="AB3" s="20" t="inlineStr">
        <is>
          <t>n.v.t.</t>
        </is>
      </c>
      <c r="AC3" s="20" t="inlineStr">
        <is>
          <t>n.v.t.</t>
        </is>
      </c>
      <c r="AD3" s="20" t="inlineStr">
        <is>
          <t>-</t>
        </is>
      </c>
      <c r="AE3" s="20" t="inlineStr">
        <is>
          <t>Elektriciteit</t>
        </is>
      </c>
      <c r="AF3" s="20" t="inlineStr">
        <is>
          <t>Trekker/eigenaar</t>
        </is>
      </c>
      <c r="AG3" s="20" t="inlineStr">
        <is>
          <t>B primaire bron</t>
        </is>
      </c>
    </row>
    <row r="4" ht="68.65000000000001" customHeight="1" s="15">
      <c r="A4" s="20" t="inlineStr">
        <is>
          <t>DT-003</t>
        </is>
      </c>
      <c r="B4" s="20" t="inlineStr">
        <is>
          <t>K</t>
        </is>
      </c>
      <c r="C4" s="20" t="inlineStr">
        <is>
          <t>Kader</t>
        </is>
      </c>
      <c r="D4" s="20" t="inlineStr">
        <is>
          <t>NEDRA: Nederlandse Energie Domein Referentie Architectuur</t>
        </is>
      </c>
      <c r="E4" s="20" t="inlineStr">
        <is>
          <t>Energie</t>
        </is>
      </c>
      <c r="F4" s="20" t="inlineStr">
        <is>
          <t>NL</t>
        </is>
      </c>
      <c r="G4" s="20" t="inlineStr">
        <is>
          <t>NL</t>
        </is>
      </c>
      <c r="H4" s="20" t="inlineStr">
        <is>
          <t>Kader</t>
        </is>
      </c>
      <c r="I4" s="20" t="inlineStr">
        <is>
          <t>Ontwerp &amp; engineering</t>
        </is>
      </c>
      <c r="J4" s="20" t="inlineStr">
        <is>
          <t>Gezamenlijke besluitvorming</t>
        </is>
      </c>
      <c r="K4" s="20" t="inlineStr">
        <is>
          <t>Net / nationaal systeem</t>
        </is>
      </c>
      <c r="L4" s="20" t="inlineStr">
        <is>
          <t>n.v.t.</t>
        </is>
      </c>
      <c r="M4" s="20" t="inlineStr">
        <is>
          <t>Alle</t>
        </is>
      </c>
      <c r="N4" s="20" t="inlineStr">
        <is>
          <t>3 Demonstratie/lab</t>
        </is>
      </c>
      <c r="O4" s="20" t="inlineStr">
        <is>
          <t>NEDRA; ADE 4.1.2</t>
        </is>
      </c>
      <c r="P4" s="20" t="inlineStr">
        <is>
          <t>NEDRA;ADE;SGAM</t>
        </is>
      </c>
      <c r="Q4" s="20" t="inlineStr">
        <is>
          <t>BS-CIM;BS-NBILITY;BS-SAREF;BS-USEF;BS-S2;BS-OPENADR</t>
        </is>
      </c>
      <c r="R4" s="20" t="inlineStr">
        <is>
          <t>Energy Innovation NL (Systeemintegratie, Digitalisering); klankbordgroep netbeheerders e.a.</t>
        </is>
      </c>
      <c r="S4" s="20" t="inlineStr">
        <is>
          <t>Opsteller</t>
        </is>
      </c>
      <c r="T4" s="20" t="inlineStr">
        <is>
          <t>Raamwerk, ArchiMate-model en werkmodel; ORTESE uitgewerkt als praktijkcase (klantreis, waardeketen, bouwblokken, rollen, afspraken) op Digital Energy Systems, 11-12-2025; getoetst in IT-landschap energiehubs (update juni 2026)</t>
        </is>
      </c>
      <c r="U4" s="20" t="inlineStr">
        <is>
          <t>Noemt digital twin als componentbouwblok; landingsplaats voor gedeelde taal en bouwblokken</t>
        </is>
      </c>
      <c r="V4" s="20" t="inlineStr">
        <is>
          <t>https://energy-innovation.nl/nl/projecten/bouwen-aan-een-robuuste-referentiearchitectuur-voor-de-energiesector/</t>
        </is>
      </c>
      <c r="W4" s="20" t="n">
        <v>52.09</v>
      </c>
      <c r="X4" s="20" t="n">
        <v>5.12</v>
      </c>
      <c r="Y4" s="20" t="inlineStr">
        <is>
          <t>v4</t>
        </is>
      </c>
      <c r="Z4" s="23" t="inlineStr">
        <is>
          <t>nee</t>
        </is>
      </c>
      <c r="AA4" s="20" t="inlineStr">
        <is>
          <t>Ecosysteem</t>
        </is>
      </c>
      <c r="AB4" s="20" t="inlineStr">
        <is>
          <t>n.v.t.</t>
        </is>
      </c>
      <c r="AC4" s="20" t="inlineStr">
        <is>
          <t>n.v.t.</t>
        </is>
      </c>
      <c r="AD4" s="20" t="inlineStr">
        <is>
          <t>-</t>
        </is>
      </c>
      <c r="AE4" s="20" t="inlineStr">
        <is>
          <t>Elektriciteit; Gas; Waterstof; Warmte/koude (multi-commodity)</t>
        </is>
      </c>
      <c r="AF4" s="20" t="inlineStr">
        <is>
          <t>Trekker/eigenaar</t>
        </is>
      </c>
      <c r="AG4" s="20" t="inlineStr">
        <is>
          <t>B primaire bron</t>
        </is>
      </c>
    </row>
    <row r="5" ht="55.2" customHeight="1" s="15">
      <c r="A5" s="20" t="inlineStr">
        <is>
          <t>DT-004</t>
        </is>
      </c>
      <c r="B5" s="20" t="inlineStr">
        <is>
          <t>K</t>
        </is>
      </c>
      <c r="C5" s="20" t="inlineStr">
        <is>
          <t>Kader</t>
        </is>
      </c>
      <c r="D5" s="20" t="inlineStr">
        <is>
          <t>EU Strategic Roadmap for Digitalisation and AI in Energy</t>
        </is>
      </c>
      <c r="E5" s="20" t="inlineStr">
        <is>
          <t>Energie</t>
        </is>
      </c>
      <c r="F5" s="20" t="inlineStr">
        <is>
          <t>Europees</t>
        </is>
      </c>
      <c r="G5" s="20" t="inlineStr">
        <is>
          <t>EU</t>
        </is>
      </c>
      <c r="H5" s="20" t="inlineStr">
        <is>
          <t>Kader</t>
        </is>
      </c>
      <c r="I5" s="20" t="inlineStr">
        <is>
          <t>Inzicht &amp; monitoring</t>
        </is>
      </c>
      <c r="J5" s="20" t="inlineStr">
        <is>
          <t>Sturing &amp; optimalisatie</t>
        </is>
      </c>
      <c r="K5" s="20" t="inlineStr">
        <is>
          <t>Europees</t>
        </is>
      </c>
      <c r="L5" s="20" t="inlineStr">
        <is>
          <t>n.v.t.</t>
        </is>
      </c>
      <c r="M5" s="20" t="inlineStr">
        <is>
          <t>Alle</t>
        </is>
      </c>
      <c r="N5" s="20" t="inlineStr">
        <is>
          <t>n.v.t.</t>
        </is>
      </c>
      <c r="O5" s="20" t="inlineStr">
        <is>
          <t>EU</t>
        </is>
      </c>
      <c r="P5" s="20" t="inlineStr">
        <is>
          <t>EU-RM26</t>
        </is>
      </c>
      <c r="Q5" s="20" t="n"/>
      <c r="R5" s="20" t="inlineStr">
        <is>
          <t>Europese Commissie</t>
        </is>
      </c>
      <c r="S5" s="20" t="inlineStr">
        <is>
          <t>Via EZK/KGG en netbeheerders</t>
        </is>
      </c>
      <c r="T5" s="20" t="inlineStr">
        <is>
          <t>Gepresenteerd 3-6-2026 (Tech Sovereignty Package); actie 3: digital twin toolbox-blauwdruk ENTSO-E/DSO Entity medio 2026</t>
        </is>
      </c>
      <c r="U5" s="20" t="inlineStr">
        <is>
          <t>Europese referentie voor NL-twins; best practices 2027</t>
        </is>
      </c>
      <c r="V5" s="20" t="inlineStr">
        <is>
          <t>https://energy.ec.europa.eu/news/commission-presents-measures-digitalise-europes-energy-system-while-ensuring-sustainable-2026-06-03_en</t>
        </is>
      </c>
      <c r="W5" s="20" t="n">
        <v>50.85</v>
      </c>
      <c r="X5" s="20" t="n">
        <v>4.35</v>
      </c>
      <c r="Y5" s="20" t="inlineStr">
        <is>
          <t>v4 of eerder</t>
        </is>
      </c>
      <c r="Z5" s="23" t="inlineStr">
        <is>
          <t>nee</t>
        </is>
      </c>
      <c r="AA5" s="20" t="inlineStr">
        <is>
          <t>Ecosysteem</t>
        </is>
      </c>
      <c r="AB5" s="20" t="inlineStr">
        <is>
          <t>n.v.t.</t>
        </is>
      </c>
      <c r="AC5" s="20" t="inlineStr">
        <is>
          <t>n.v.t.</t>
        </is>
      </c>
      <c r="AD5" s="20" t="inlineStr">
        <is>
          <t>-</t>
        </is>
      </c>
      <c r="AE5" s="20" t="inlineStr">
        <is>
          <t>Elektriciteit; Gas; Waterstof; Warmte/koude (multi-commodity)</t>
        </is>
      </c>
      <c r="AF5" s="20" t="inlineStr">
        <is>
          <t>Partner/deelnemer</t>
        </is>
      </c>
      <c r="AG5" s="20" t="inlineStr">
        <is>
          <t>B primaire bron</t>
        </is>
      </c>
    </row>
    <row r="6" ht="55.2" customHeight="1" s="15">
      <c r="A6" s="20" t="inlineStr">
        <is>
          <t>DT-005</t>
        </is>
      </c>
      <c r="B6" s="20" t="inlineStr">
        <is>
          <t>K</t>
        </is>
      </c>
      <c r="C6" s="20" t="inlineStr">
        <is>
          <t>Kader</t>
        </is>
      </c>
      <c r="D6" s="20" t="inlineStr">
        <is>
          <t>EU Actieplan Digitalisering Energiesysteem (2022)</t>
        </is>
      </c>
      <c r="E6" s="20" t="inlineStr">
        <is>
          <t>Energie</t>
        </is>
      </c>
      <c r="F6" s="20" t="inlineStr">
        <is>
          <t>Europees</t>
        </is>
      </c>
      <c r="G6" s="20" t="inlineStr">
        <is>
          <t>EU</t>
        </is>
      </c>
      <c r="H6" s="20" t="inlineStr">
        <is>
          <t>Kader</t>
        </is>
      </c>
      <c r="I6" s="20" t="inlineStr">
        <is>
          <t>Inzicht &amp; monitoring</t>
        </is>
      </c>
      <c r="J6" s="20" t="inlineStr">
        <is>
          <t>Sturing &amp; optimalisatie</t>
        </is>
      </c>
      <c r="K6" s="20" t="inlineStr">
        <is>
          <t>Europees</t>
        </is>
      </c>
      <c r="L6" s="20" t="inlineStr">
        <is>
          <t>n.v.t.</t>
        </is>
      </c>
      <c r="M6" s="20" t="inlineStr">
        <is>
          <t>Elektriciteit</t>
        </is>
      </c>
      <c r="N6" s="20" t="inlineStr">
        <is>
          <t>n.v.t.</t>
        </is>
      </c>
      <c r="O6" s="20" t="inlineStr">
        <is>
          <t>EU</t>
        </is>
      </c>
      <c r="P6" s="20" t="inlineStr">
        <is>
          <t>EU-AP22</t>
        </is>
      </c>
      <c r="Q6" s="20" t="n"/>
      <c r="R6" s="20" t="inlineStr">
        <is>
          <t>Europese Commissie</t>
        </is>
      </c>
      <c r="S6" s="20" t="inlineStr">
        <is>
          <t>Via EZK/KGG</t>
        </is>
      </c>
      <c r="T6" s="20" t="inlineStr">
        <is>
          <t>Sinds okt. 2022; basis voor ENTSO-E/DSO Entity grid twin</t>
        </is>
      </c>
      <c r="U6" s="20" t="inlineStr">
        <is>
          <t>Grondslag ADE en TwinEU</t>
        </is>
      </c>
      <c r="V6" s="20" t="inlineStr">
        <is>
          <t>https://energy.ec.europa.eu/news/commission-welcomes-cooperation-between-entso-e-and-eu-dso-entity-digital-electricity-grid-twin-2022-12-20_en</t>
        </is>
      </c>
      <c r="W6" s="20" t="n">
        <v>50.85</v>
      </c>
      <c r="X6" s="20" t="n">
        <v>4.35</v>
      </c>
      <c r="Y6" s="20" t="inlineStr">
        <is>
          <t>v4 of eerder</t>
        </is>
      </c>
      <c r="Z6" s="23" t="inlineStr">
        <is>
          <t>nee</t>
        </is>
      </c>
      <c r="AA6" s="20" t="inlineStr">
        <is>
          <t>Ecosysteem</t>
        </is>
      </c>
      <c r="AB6" s="20" t="inlineStr">
        <is>
          <t>n.v.t.</t>
        </is>
      </c>
      <c r="AC6" s="20" t="inlineStr">
        <is>
          <t>n.v.t.</t>
        </is>
      </c>
      <c r="AD6" s="20" t="inlineStr">
        <is>
          <t>-</t>
        </is>
      </c>
      <c r="AE6" s="20" t="inlineStr">
        <is>
          <t>Elektriciteit</t>
        </is>
      </c>
      <c r="AF6" s="20" t="inlineStr">
        <is>
          <t>Partner/deelnemer</t>
        </is>
      </c>
      <c r="AG6" s="20" t="inlineStr">
        <is>
          <t>B primaire bron</t>
        </is>
      </c>
    </row>
    <row r="7" ht="28.35" customHeight="1" s="15">
      <c r="A7" s="20" t="inlineStr">
        <is>
          <t>DT-006</t>
        </is>
      </c>
      <c r="B7" s="20" t="inlineStr">
        <is>
          <t>K</t>
        </is>
      </c>
      <c r="C7" s="20" t="inlineStr">
        <is>
          <t>Kader</t>
        </is>
      </c>
      <c r="D7" s="20" t="inlineStr">
        <is>
          <t>Programma Digitale Tweeling / NLDT-architectuur</t>
        </is>
      </c>
      <c r="E7" s="20" t="inlineStr">
        <is>
          <t>GO</t>
        </is>
      </c>
      <c r="F7" s="20" t="inlineStr">
        <is>
          <t>NL</t>
        </is>
      </c>
      <c r="G7" s="20" t="inlineStr">
        <is>
          <t>NL</t>
        </is>
      </c>
      <c r="H7" s="20" t="inlineStr">
        <is>
          <t>Kader</t>
        </is>
      </c>
      <c r="I7" s="20" t="inlineStr">
        <is>
          <t>Gezamenlijke besluitvorming</t>
        </is>
      </c>
      <c r="J7" s="20" t="inlineStr">
        <is>
          <t>Scenario &amp; planning</t>
        </is>
      </c>
      <c r="K7" s="20" t="inlineStr">
        <is>
          <t>Gemeente / regio</t>
        </is>
      </c>
      <c r="L7" s="20" t="inlineStr">
        <is>
          <t>n.v.t.</t>
        </is>
      </c>
      <c r="M7" s="20" t="inlineStr">
        <is>
          <t>GO (incl. energie als thema)</t>
        </is>
      </c>
      <c r="N7" s="20" t="inlineStr">
        <is>
          <t>3 Demonstratie/lab</t>
        </is>
      </c>
      <c r="O7" s="20" t="inlineStr">
        <is>
          <t>NLDT/FDS</t>
        </is>
      </c>
      <c r="P7" s="20" t="inlineStr">
        <is>
          <t>NLDT</t>
        </is>
      </c>
      <c r="Q7" s="20" t="inlineStr">
        <is>
          <t>BS-CITYGML;BS-3DTILES</t>
        </is>
      </c>
      <c r="R7" s="20" t="inlineStr">
        <is>
          <t>VRO, Geonovum, VNG, Kadaster</t>
        </is>
      </c>
      <c r="S7" s="20" t="inlineStr">
        <is>
          <t>Opsteller</t>
        </is>
      </c>
      <c r="T7" s="20" t="inlineStr">
        <is>
          <t>Lopend; testbeds 2024-2026</t>
        </is>
      </c>
      <c r="U7" s="20" t="inlineStr">
        <is>
          <t>Federatief stelselpatroon (data-rekenmodel-visualisatie ontkoppeld) herbruikbaar voor energie</t>
        </is>
      </c>
      <c r="V7" s="20" t="inlineStr">
        <is>
          <t>https://geonovum.github.io/NLDT-Architectuur/</t>
        </is>
      </c>
      <c r="W7" s="20" t="n">
        <v>52.16</v>
      </c>
      <c r="X7" s="20" t="n">
        <v>5.39</v>
      </c>
      <c r="Y7" s="20" t="inlineStr">
        <is>
          <t>v4 of eerder</t>
        </is>
      </c>
      <c r="Z7" s="23" t="inlineStr">
        <is>
          <t>nee</t>
        </is>
      </c>
      <c r="AA7" s="20" t="inlineStr">
        <is>
          <t>Ecosysteem</t>
        </is>
      </c>
      <c r="AB7" s="20" t="inlineStr">
        <is>
          <t>n.v.t.</t>
        </is>
      </c>
      <c r="AC7" s="20" t="inlineStr">
        <is>
          <t>n.v.t.</t>
        </is>
      </c>
      <c r="AD7" s="20" t="inlineStr">
        <is>
          <t>-</t>
        </is>
      </c>
      <c r="AE7" s="20" t="inlineStr">
        <is>
          <t>n.v.t.</t>
        </is>
      </c>
      <c r="AF7" s="20" t="inlineStr">
        <is>
          <t>Trekker/eigenaar</t>
        </is>
      </c>
      <c r="AG7" s="20" t="inlineStr">
        <is>
          <t>B primaire bron</t>
        </is>
      </c>
    </row>
    <row r="8" ht="55.2" customHeight="1" s="15">
      <c r="A8" s="20" t="inlineStr">
        <is>
          <t>DT-007</t>
        </is>
      </c>
      <c r="B8" s="20" t="inlineStr">
        <is>
          <t>K</t>
        </is>
      </c>
      <c r="C8" s="20" t="inlineStr">
        <is>
          <t>Kader</t>
        </is>
      </c>
      <c r="D8" s="20" t="inlineStr">
        <is>
          <t>SGAM: Smart Grid Architecture Model</t>
        </is>
      </c>
      <c r="E8" s="20" t="inlineStr">
        <is>
          <t>Energie</t>
        </is>
      </c>
      <c r="F8" s="20" t="inlineStr">
        <is>
          <t>Europees</t>
        </is>
      </c>
      <c r="G8" s="20" t="inlineStr">
        <is>
          <t>EU</t>
        </is>
      </c>
      <c r="H8" s="20" t="inlineStr">
        <is>
          <t>Kader</t>
        </is>
      </c>
      <c r="I8" s="20" t="inlineStr">
        <is>
          <t>Ontwerp &amp; engineering</t>
        </is>
      </c>
      <c r="J8" s="20" t="inlineStr">
        <is>
          <t>Gezamenlijke besluitvorming</t>
        </is>
      </c>
      <c r="K8" s="20" t="inlineStr">
        <is>
          <t>Europees</t>
        </is>
      </c>
      <c r="L8" s="20" t="inlineStr">
        <is>
          <t>n.v.t.</t>
        </is>
      </c>
      <c r="M8" s="20" t="inlineStr">
        <is>
          <t>Elektriciteit</t>
        </is>
      </c>
      <c r="N8" s="20" t="inlineStr">
        <is>
          <t>n.v.t.</t>
        </is>
      </c>
      <c r="O8" s="20" t="inlineStr">
        <is>
          <t>SGAM; NEDRA</t>
        </is>
      </c>
      <c r="P8" s="20" t="inlineStr">
        <is>
          <t>SGAM;NEDRA</t>
        </is>
      </c>
      <c r="Q8" s="20" t="n"/>
      <c r="R8" s="20" t="inlineStr">
        <is>
          <t>CEN-CENELEC-ETSI Smart Grid Coordination Group (mandaat M/490)</t>
        </is>
      </c>
      <c r="S8" s="20" t="inlineStr">
        <is>
          <t>Gebruikt in NEDRA-modelbouwblokken; NL-architecten (o.a. netbeheerders) werken ermee</t>
        </is>
      </c>
      <c r="T8" s="20" t="inlineStr">
        <is>
          <t>Referentiemodel sinds 2012; basis voor positionering in Horizon-projecten (o.a. GRID-PRO werkt 'SGAM-conform')</t>
        </is>
      </c>
      <c r="U8" s="20" t="inlineStr">
        <is>
          <t>Gedeelde taal om twin-componenten te plaatsen in domeinen, zones en interoperabiliteitslagen; ankerpunt tussen NEDRA en EU-projecten</t>
        </is>
      </c>
      <c r="V8" s="20" t="inlineStr">
        <is>
          <t>https://referentiearchitectuurtopsectorenergie.github.io/NEDRA/detail/afstemming/modellen/index.html</t>
        </is>
      </c>
      <c r="W8" s="20" t="n">
        <v>50.85</v>
      </c>
      <c r="X8" s="20" t="n">
        <v>4.35</v>
      </c>
      <c r="Y8" s="20" t="inlineStr">
        <is>
          <t>v5</t>
        </is>
      </c>
      <c r="Z8" s="23" t="inlineStr">
        <is>
          <t>nee</t>
        </is>
      </c>
      <c r="AA8" s="20" t="inlineStr">
        <is>
          <t>Ecosysteem</t>
        </is>
      </c>
      <c r="AB8" s="20" t="inlineStr">
        <is>
          <t>n.v.t.</t>
        </is>
      </c>
      <c r="AC8" s="20" t="inlineStr">
        <is>
          <t>n.v.t.</t>
        </is>
      </c>
      <c r="AD8" s="20" t="inlineStr">
        <is>
          <t>-</t>
        </is>
      </c>
      <c r="AE8" s="20" t="inlineStr">
        <is>
          <t>Elektriciteit</t>
        </is>
      </c>
      <c r="AF8" s="20" t="inlineStr">
        <is>
          <t>Gebruiker</t>
        </is>
      </c>
      <c r="AG8" s="20" t="inlineStr">
        <is>
          <t>B primaire bron</t>
        </is>
      </c>
    </row>
    <row r="9" ht="41.75" customHeight="1" s="15">
      <c r="A9" s="20" t="inlineStr">
        <is>
          <t>DT-008</t>
        </is>
      </c>
      <c r="B9" s="20" t="inlineStr">
        <is>
          <t>K</t>
        </is>
      </c>
      <c r="C9" s="20" t="inlineStr">
        <is>
          <t>Kader</t>
        </is>
      </c>
      <c r="D9" s="20" t="inlineStr">
        <is>
          <t>DSGO: Digitaal Stelsel Gebouwde Omgeving</t>
        </is>
      </c>
      <c r="E9" s="20" t="inlineStr">
        <is>
          <t>Energie + GO</t>
        </is>
      </c>
      <c r="F9" s="20" t="inlineStr">
        <is>
          <t>NL</t>
        </is>
      </c>
      <c r="G9" s="20" t="inlineStr">
        <is>
          <t>NL</t>
        </is>
      </c>
      <c r="H9" s="20" t="inlineStr">
        <is>
          <t>Kader</t>
        </is>
      </c>
      <c r="I9" s="20" t="inlineStr">
        <is>
          <t>Gezamenlijke besluitvorming</t>
        </is>
      </c>
      <c r="J9" s="20" t="inlineStr">
        <is>
          <t>Inzicht &amp; monitoring</t>
        </is>
      </c>
      <c r="K9" s="20" t="inlineStr">
        <is>
          <t>Gebouw / site</t>
        </is>
      </c>
      <c r="L9" s="20" t="inlineStr">
        <is>
          <t>n.v.t.</t>
        </is>
      </c>
      <c r="M9" s="20" t="inlineStr">
        <is>
          <t>GO (gebouwen, installaties)</t>
        </is>
      </c>
      <c r="N9" s="20" t="inlineStr">
        <is>
          <t>4 Operationeel</t>
        </is>
      </c>
      <c r="O9" s="20" t="inlineStr">
        <is>
          <t>DSGO; NLDT</t>
        </is>
      </c>
      <c r="P9" s="20" t="inlineStr">
        <is>
          <t>DSGO;NLDT</t>
        </is>
      </c>
      <c r="Q9" s="20" t="inlineStr">
        <is>
          <t>BS-ISHARE</t>
        </is>
      </c>
      <c r="R9" s="20" t="inlineStr">
        <is>
          <t>digiGO, bouw- en installatiesector</t>
        </is>
      </c>
      <c r="S9" s="20" t="inlineStr">
        <is>
          <t>Trekker</t>
        </is>
      </c>
      <c r="T9" s="20" t="inlineStr">
        <is>
          <t>Operationeel afsprakenstelsel; inventariseerde in 2022 de federatieve componenten voor digitale tweelingen (DSGO/Geonovum)</t>
        </is>
      </c>
      <c r="U9" s="20" t="inlineStr">
        <is>
          <t>Trust- en afsprakenlaag voor gebouw- en installatiedata richting energie-twins (o.a. DVU); brug GO-energie op gebouwniveau</t>
        </is>
      </c>
      <c r="V9" s="20" t="inlineStr">
        <is>
          <t>https://www.digigo.nu/afsprakenstelsel/</t>
        </is>
      </c>
      <c r="W9" s="20" t="n">
        <v>52.13</v>
      </c>
      <c r="X9" s="20" t="n">
        <v>5.29</v>
      </c>
      <c r="Y9" s="20" t="inlineStr">
        <is>
          <t>v5</t>
        </is>
      </c>
      <c r="Z9" s="23" t="inlineStr">
        <is>
          <t>nee</t>
        </is>
      </c>
      <c r="AA9" s="20" t="inlineStr">
        <is>
          <t>Ecosysteem</t>
        </is>
      </c>
      <c r="AB9" s="20" t="inlineStr">
        <is>
          <t>n.v.t.</t>
        </is>
      </c>
      <c r="AC9" s="20" t="inlineStr">
        <is>
          <t>n.v.t.</t>
        </is>
      </c>
      <c r="AD9" s="20" t="inlineStr">
        <is>
          <t>-</t>
        </is>
      </c>
      <c r="AE9" s="20" t="inlineStr">
        <is>
          <t>n.v.t.</t>
        </is>
      </c>
      <c r="AF9" s="20" t="inlineStr">
        <is>
          <t>Trekker/eigenaar</t>
        </is>
      </c>
      <c r="AG9" s="20" t="inlineStr">
        <is>
          <t>B primaire bron</t>
        </is>
      </c>
    </row>
    <row r="10" ht="68.65000000000001" customHeight="1" s="15">
      <c r="A10" s="20" t="inlineStr">
        <is>
          <t>DT-009</t>
        </is>
      </c>
      <c r="B10" s="20" t="inlineStr">
        <is>
          <t>K</t>
        </is>
      </c>
      <c r="C10" s="20" t="inlineStr">
        <is>
          <t>Kader</t>
        </is>
      </c>
      <c r="D10" s="20" t="inlineStr">
        <is>
          <t>EU Local Digital Twins: LDT CitiVERSE EDIC, LDT-toolbox en MIMs Plus</t>
        </is>
      </c>
      <c r="E10" s="20" t="inlineStr">
        <is>
          <t>GO</t>
        </is>
      </c>
      <c r="F10" s="20" t="inlineStr">
        <is>
          <t>Europees</t>
        </is>
      </c>
      <c r="G10" s="20" t="inlineStr">
        <is>
          <t>EU</t>
        </is>
      </c>
      <c r="H10" s="20" t="inlineStr">
        <is>
          <t>Kader</t>
        </is>
      </c>
      <c r="I10" s="20" t="inlineStr">
        <is>
          <t>Gezamenlijke besluitvorming</t>
        </is>
      </c>
      <c r="J10" s="20" t="inlineStr">
        <is>
          <t>Scenario &amp; planning</t>
        </is>
      </c>
      <c r="K10" s="20" t="inlineStr">
        <is>
          <t>Europees</t>
        </is>
      </c>
      <c r="L10" s="20" t="inlineStr">
        <is>
          <t>n.v.t.</t>
        </is>
      </c>
      <c r="M10" s="20" t="inlineStr">
        <is>
          <t>GO (energie als thema)</t>
        </is>
      </c>
      <c r="N10" s="20" t="inlineStr">
        <is>
          <t>3 Demonstratie/lab</t>
        </is>
      </c>
      <c r="O10" s="20" t="inlineStr">
        <is>
          <t>LDT</t>
        </is>
      </c>
      <c r="P10" s="20" t="inlineStr">
        <is>
          <t>EU-LDT</t>
        </is>
      </c>
      <c r="Q10" s="20" t="inlineStr">
        <is>
          <t>BS-NGSILD</t>
        </is>
      </c>
      <c r="R10" s="20" t="inlineStr">
        <is>
          <t>Europese Commissie; EDIC met 15 lidstaten (incl. NL), zetel Valencia; OASC (toolbox, MIMs Plus)</t>
        </is>
      </c>
      <c r="S10" s="20" t="inlineStr">
        <is>
          <t>NL is lid via nLDT-programma en Geonovum</t>
        </is>
      </c>
      <c r="T10" s="20" t="inlineStr">
        <is>
          <t>EDIC actief; toolbox en conformiteitstesten afgerond sept. 2025</t>
        </is>
      </c>
      <c r="U10" s="20" t="inlineStr">
        <is>
          <t>Europese aansluitvoorwaarden voor lokale twins; energie is er nog geen eigen laag. Kansrijk koppelpunt voor gemeentelijke energietwins</t>
        </is>
      </c>
      <c r="V10" s="20" t="inlineStr">
        <is>
          <t>https://ldtcitiverse-edic.eu/</t>
        </is>
      </c>
      <c r="W10" s="20" t="n">
        <v>39.47</v>
      </c>
      <c r="X10" s="20" t="n">
        <v>-0.38</v>
      </c>
      <c r="Y10" s="20" t="inlineStr">
        <is>
          <t>v5</t>
        </is>
      </c>
      <c r="Z10" s="23" t="inlineStr">
        <is>
          <t>nee</t>
        </is>
      </c>
      <c r="AA10" s="20" t="inlineStr">
        <is>
          <t>Ecosysteem</t>
        </is>
      </c>
      <c r="AB10" s="20" t="inlineStr">
        <is>
          <t>n.v.t.</t>
        </is>
      </c>
      <c r="AC10" s="20" t="inlineStr">
        <is>
          <t>n.v.t.</t>
        </is>
      </c>
      <c r="AD10" s="20" t="inlineStr">
        <is>
          <t>-</t>
        </is>
      </c>
      <c r="AE10" s="20" t="inlineStr">
        <is>
          <t>n.v.t.</t>
        </is>
      </c>
      <c r="AF10" s="20" t="inlineStr">
        <is>
          <t>Partner/deelnemer</t>
        </is>
      </c>
      <c r="AG10" s="20" t="inlineStr">
        <is>
          <t>B primaire bron</t>
        </is>
      </c>
    </row>
    <row r="11" ht="68.65000000000001" customHeight="1" s="15">
      <c r="A11" s="20" t="inlineStr">
        <is>
          <t>DT-010</t>
        </is>
      </c>
      <c r="B11" s="20" t="inlineStr">
        <is>
          <t>K</t>
        </is>
      </c>
      <c r="C11" s="20" t="inlineStr">
        <is>
          <t>Kader</t>
        </is>
      </c>
      <c r="D11" s="20" t="inlineStr">
        <is>
          <t>Datastrategie digital twins voor een toekomstig energiesysteem (RVO/Topsector Energie, 2026)</t>
        </is>
      </c>
      <c r="E11" s="20" t="inlineStr">
        <is>
          <t>Energie</t>
        </is>
      </c>
      <c r="F11" s="20" t="inlineStr">
        <is>
          <t>NL</t>
        </is>
      </c>
      <c r="G11" s="20" t="inlineStr">
        <is>
          <t>NL</t>
        </is>
      </c>
      <c r="H11" s="20" t="inlineStr">
        <is>
          <t>Kader</t>
        </is>
      </c>
      <c r="I11" s="20" t="inlineStr">
        <is>
          <t>Gezamenlijke besluitvorming</t>
        </is>
      </c>
      <c r="J11" s="20" t="inlineStr">
        <is>
          <t>Scenario &amp; planning</t>
        </is>
      </c>
      <c r="K11" s="20" t="inlineStr">
        <is>
          <t>Gemeente / regio</t>
        </is>
      </c>
      <c r="L11" s="20" t="inlineStr">
        <is>
          <t>n.v.t.</t>
        </is>
      </c>
      <c r="M11" s="20" t="inlineStr">
        <is>
          <t>Multi-commodity</t>
        </is>
      </c>
      <c r="N11" s="20" t="inlineStr">
        <is>
          <t>3 Demonstratie/lab</t>
        </is>
      </c>
      <c r="O11" s="20" t="n"/>
      <c r="P11" s="20" t="n"/>
      <c r="Q11" s="20" t="n"/>
      <c r="R11" s="20" t="inlineStr">
        <is>
          <t>RVO/Topsector Energie (opdrachtgever); Witteveen+Bos, Gradyent, TNO, Quintel, CE Delft, ENTRANCE (Hanze)</t>
        </is>
      </c>
      <c r="S11" s="20" t="inlineStr">
        <is>
          <t>Opdrachtgever</t>
        </is>
      </c>
      <c r="T11" s="20" t="inlineStr">
        <is>
          <t>Definitief april 2026 (publiek document); inhoud niet samengevat vanwege auteursrechtvoorbehoud (geen tekst- en datamining of verwerking met AI)</t>
        </is>
      </c>
      <c r="U11" s="20" t="inlineStr">
        <is>
          <t>Volgens de projectpagina van Witteveen+Bos bedoeld als blauwdruk voor andere gemeenten: welke data een twin nodig heeft, welke kwaliteit en hoe levering contractueel wordt geregeld</t>
        </is>
      </c>
      <c r="V11" s="20" t="inlineStr">
        <is>
          <t>https://www.witteveenbos.com/projects/emmen-and-ortese ; Datastrategie_Digital_Twins_voor_een_toekomstig_energiesysteem.pdf (W+B, ref. 140813/26-006.618)</t>
        </is>
      </c>
      <c r="W11" s="20" t="n">
        <v>52.09</v>
      </c>
      <c r="X11" s="20" t="n">
        <v>5.12</v>
      </c>
      <c r="Y11" s="20" t="inlineStr">
        <is>
          <t>v11</t>
        </is>
      </c>
      <c r="Z11" s="23" t="inlineStr">
        <is>
          <t>nee</t>
        </is>
      </c>
      <c r="AA11" s="20" t="inlineStr">
        <is>
          <t>Ecosysteem</t>
        </is>
      </c>
      <c r="AB11" s="20" t="inlineStr">
        <is>
          <t>n.v.t.</t>
        </is>
      </c>
      <c r="AC11" s="20" t="inlineStr">
        <is>
          <t>n.v.t.</t>
        </is>
      </c>
      <c r="AD11" s="20" t="inlineStr">
        <is>
          <t>-</t>
        </is>
      </c>
      <c r="AE11" s="20" t="inlineStr">
        <is>
          <t>Multi-commodity (dragers niet gespecificeerd)</t>
        </is>
      </c>
      <c r="AF11" s="20" t="inlineStr">
        <is>
          <t>Trekker/eigenaar</t>
        </is>
      </c>
      <c r="AG11" s="20" t="inlineStr">
        <is>
          <t>B primaire bron</t>
        </is>
      </c>
    </row>
    <row r="12" ht="41.75" customHeight="1" s="15">
      <c r="A12" s="20" t="inlineStr">
        <is>
          <t>DT-011</t>
        </is>
      </c>
      <c r="B12" s="20" t="inlineStr">
        <is>
          <t>K</t>
        </is>
      </c>
      <c r="C12" s="20" t="inlineStr">
        <is>
          <t>Kader</t>
        </is>
      </c>
      <c r="D12" s="20" t="inlineStr">
        <is>
          <t>DSSC Blueprint: bouwblokken voor data spaces (Data Spaces Support Centre)</t>
        </is>
      </c>
      <c r="E12" s="20" t="inlineStr">
        <is>
          <t>Overig</t>
        </is>
      </c>
      <c r="F12" s="20" t="inlineStr">
        <is>
          <t>Europees</t>
        </is>
      </c>
      <c r="G12" s="20" t="inlineStr">
        <is>
          <t>EU</t>
        </is>
      </c>
      <c r="H12" s="20" t="inlineStr">
        <is>
          <t>Kader</t>
        </is>
      </c>
      <c r="I12" s="20" t="inlineStr">
        <is>
          <t>Gezamenlijke besluitvorming</t>
        </is>
      </c>
      <c r="J12" s="20" t="inlineStr">
        <is>
          <t>Ontwerp &amp; engineering</t>
        </is>
      </c>
      <c r="K12" s="20" t="inlineStr">
        <is>
          <t>Europees</t>
        </is>
      </c>
      <c r="L12" s="20" t="inlineStr">
        <is>
          <t>n.v.t.</t>
        </is>
      </c>
      <c r="M12" s="20" t="inlineStr">
        <is>
          <t>n.v.t.</t>
        </is>
      </c>
      <c r="N12" s="20" t="inlineStr">
        <is>
          <t>3 Demonstratie/lab</t>
        </is>
      </c>
      <c r="O12" s="20" t="inlineStr">
        <is>
          <t>DSSC</t>
        </is>
      </c>
      <c r="P12" s="20" t="inlineStr">
        <is>
          <t>DSSC</t>
        </is>
      </c>
      <c r="Q12" s="20" t="inlineStr">
        <is>
          <t>BS-DSP;BS-DCP;BS-EDC;BS-DCAT</t>
        </is>
      </c>
      <c r="R12" s="20" t="inlineStr">
        <is>
          <t>Data Spaces Support Centre (Europese Commissie); TNO namens NL lid</t>
        </is>
      </c>
      <c r="S12" s="20" t="inlineStr">
        <is>
          <t>TNO</t>
        </is>
      </c>
      <c r="T12" s="20" t="inlineStr">
        <is>
          <t>Blueprint met technische en organisatorische bouwblokken; basis voor EU-standaardisatie onder de Data Act</t>
        </is>
      </c>
      <c r="U12" s="20" t="inlineStr">
        <is>
          <t>Kapstok voor de federatieband van de referentiearchitectuur; gebruikt in de CDO-inventarisatie (DT-096)</t>
        </is>
      </c>
      <c r="V12" s="20" t="inlineStr">
        <is>
          <t>https://dssc.eu/ ; Eindrapport Inventarisatie Architectuur Data Ecosystemen tbv CDO IenW (Geonovum, 2025)</t>
        </is>
      </c>
      <c r="W12" s="20" t="n">
        <v>50.85</v>
      </c>
      <c r="X12" s="20" t="n">
        <v>4.35</v>
      </c>
      <c r="Y12" s="20" t="inlineStr">
        <is>
          <t>v12</t>
        </is>
      </c>
      <c r="Z12" s="23" t="inlineStr">
        <is>
          <t>nee</t>
        </is>
      </c>
      <c r="AA12" s="20" t="inlineStr">
        <is>
          <t>Ecosysteem</t>
        </is>
      </c>
      <c r="AB12" s="20" t="inlineStr">
        <is>
          <t>n.v.t.</t>
        </is>
      </c>
      <c r="AC12" s="20" t="inlineStr">
        <is>
          <t>n.v.t.</t>
        </is>
      </c>
      <c r="AD12" s="20" t="inlineStr">
        <is>
          <t>-</t>
        </is>
      </c>
      <c r="AE12" s="20" t="inlineStr">
        <is>
          <t>n.v.t.</t>
        </is>
      </c>
      <c r="AF12" s="20" t="inlineStr">
        <is>
          <t>Partner/deelnemer</t>
        </is>
      </c>
      <c r="AG12" s="20" t="inlineStr">
        <is>
          <t>B primaire bron</t>
        </is>
      </c>
    </row>
    <row r="13" ht="41.75" customHeight="1" s="15">
      <c r="A13" s="20" t="inlineStr">
        <is>
          <t>DT-012</t>
        </is>
      </c>
      <c r="B13" s="20" t="inlineStr">
        <is>
          <t>R</t>
        </is>
      </c>
      <c r="C13" s="20" t="inlineStr">
        <is>
          <t>Faciliteit of R&amp;D (NL)</t>
        </is>
      </c>
      <c r="D13" s="20" t="inlineStr">
        <is>
          <t>Nationale Faciliteit Digital Twin Elektriciteitssysteem</t>
        </is>
      </c>
      <c r="E13" s="20" t="inlineStr">
        <is>
          <t>Energie</t>
        </is>
      </c>
      <c r="F13" s="20" t="inlineStr">
        <is>
          <t>NL</t>
        </is>
      </c>
      <c r="G13" s="20" t="inlineStr">
        <is>
          <t>NL</t>
        </is>
      </c>
      <c r="H13" s="20" t="inlineStr">
        <is>
          <t>Faciliteit/R&amp;D</t>
        </is>
      </c>
      <c r="I13" s="20" t="inlineStr">
        <is>
          <t>Scenario &amp; planning</t>
        </is>
      </c>
      <c r="J13" s="20" t="inlineStr">
        <is>
          <t>Onderzoek &amp; training, Inzicht &amp; monitoring</t>
        </is>
      </c>
      <c r="K13" s="20" t="inlineStr">
        <is>
          <t>Net / nationaal systeem</t>
        </is>
      </c>
      <c r="L13" s="20" t="inlineStr">
        <is>
          <t>Tweeling (beoogd)</t>
        </is>
      </c>
      <c r="M13" s="20" t="inlineStr">
        <is>
          <t>Elektriciteit</t>
        </is>
      </c>
      <c r="N13" s="20" t="inlineStr">
        <is>
          <t>1 Verkenning</t>
        </is>
      </c>
      <c r="O13" s="20" t="inlineStr">
        <is>
          <t>ADE 1.1.3; NPE</t>
        </is>
      </c>
      <c r="P13" s="20" t="inlineStr">
        <is>
          <t>ADE;NPE</t>
        </is>
      </c>
      <c r="Q13" s="20" t="n"/>
      <c r="R13" s="20" t="inlineStr">
        <is>
          <t>Ministerie KGG, TU Delft, TenneT, Energy Innovation NL</t>
        </is>
      </c>
      <c r="S13" s="20" t="inlineStr">
        <is>
          <t>Trekker</t>
        </is>
      </c>
      <c r="T13" s="20" t="inlineStr">
        <is>
          <t>Aangekondigd 29-6-2026; zes deelsystemen in één model</t>
        </is>
      </c>
      <c r="U13" s="20" t="inlineStr">
        <is>
          <t>Potentiële nationale referentietwin; ADE-actie 1.1.3 lijkt hier te landen (te verifiëren)</t>
        </is>
      </c>
      <c r="V13" s="20" t="inlineStr">
        <is>
          <t>https://www.engineersonline.nl/digital-twin-moet-risicos-in-het-elektriciteitssysteem-eerder-blootleggen/</t>
        </is>
      </c>
      <c r="W13" s="20" t="n">
        <v>52</v>
      </c>
      <c r="X13" s="20" t="n">
        <v>4.37</v>
      </c>
      <c r="Y13" s="20" t="inlineStr">
        <is>
          <t>v4 of eerder</t>
        </is>
      </c>
      <c r="Z13" s="23" t="inlineStr">
        <is>
          <t>nee</t>
        </is>
      </c>
      <c r="AA13" s="20" t="inlineStr">
        <is>
          <t>Twin-instantie</t>
        </is>
      </c>
      <c r="AB13" s="20" t="inlineStr">
        <is>
          <t>Tweeling</t>
        </is>
      </c>
      <c r="AC13" s="20" t="inlineStr">
        <is>
          <t>Beoogd</t>
        </is>
      </c>
      <c r="AD13" s="20" t="inlineStr">
        <is>
          <t>5 Sturende tweeling (beoogd)</t>
        </is>
      </c>
      <c r="AE13" s="20" t="inlineStr">
        <is>
          <t>Elektriciteit</t>
        </is>
      </c>
      <c r="AF13" s="20" t="inlineStr">
        <is>
          <t>Trekker/eigenaar</t>
        </is>
      </c>
      <c r="AG13" s="20" t="inlineStr">
        <is>
          <t>C secundaire bron</t>
        </is>
      </c>
    </row>
    <row r="14" ht="82.05" customHeight="1" s="15">
      <c r="A14" s="20" t="inlineStr">
        <is>
          <t>DT-013</t>
        </is>
      </c>
      <c r="B14" s="20" t="inlineStr">
        <is>
          <t>R</t>
        </is>
      </c>
      <c r="C14" s="20" t="inlineStr">
        <is>
          <t>Faciliteit of R&amp;D (NL)</t>
        </is>
      </c>
      <c r="D14" s="20" t="inlineStr">
        <is>
          <t>KIC 'Unlocking Digital Twin Capabilities for Electricity Utilities'</t>
        </is>
      </c>
      <c r="E14" s="20" t="inlineStr">
        <is>
          <t>Energie</t>
        </is>
      </c>
      <c r="F14" s="20" t="inlineStr">
        <is>
          <t>NL</t>
        </is>
      </c>
      <c r="G14" s="20" t="inlineStr">
        <is>
          <t>NL</t>
        </is>
      </c>
      <c r="H14" s="20" t="inlineStr">
        <is>
          <t>Faciliteit/R&amp;D</t>
        </is>
      </c>
      <c r="I14" s="20" t="inlineStr">
        <is>
          <t>Onderzoek &amp; training</t>
        </is>
      </c>
      <c r="J14" s="20" t="n"/>
      <c r="K14" s="20" t="inlineStr">
        <is>
          <t>Net / nationaal systeem</t>
        </is>
      </c>
      <c r="L14" s="20" t="inlineStr">
        <is>
          <t>Tweeling (prototype)</t>
        </is>
      </c>
      <c r="M14" s="20" t="inlineStr">
        <is>
          <t>Elektriciteit</t>
        </is>
      </c>
      <c r="N14" s="20" t="inlineStr">
        <is>
          <t>1 Verkenning</t>
        </is>
      </c>
      <c r="O14" s="20" t="inlineStr">
        <is>
          <t>KIC/MMIP; ADE</t>
        </is>
      </c>
      <c r="P14" s="20" t="inlineStr">
        <is>
          <t>ADE;TSE-INNOV</t>
        </is>
      </c>
      <c r="Q14" s="20" t="n"/>
      <c r="R14" s="20" t="inlineStr">
        <is>
          <t>NWO, TenneT, Topsector Energie (Energy Innovation NL)</t>
        </is>
      </c>
      <c r="S14" s="20" t="inlineStr">
        <is>
          <t>Trekker</t>
        </is>
      </c>
      <c r="T14" s="20" t="inlineStr">
        <is>
          <t>Call-tekst: max. EUR 5,76 mln NWO-subsidie (max. 95%, min. 5% cofinanciering), één consortium, max. 6 jaar; vooraanmelding 10-2-2026, volledige aanvraag 8-9-2026, besluit NWO-bestuur januari 2027 (TenneT-pagina noemt EUR 6,2 mln en 25-8-2026; te verifiëren)</t>
        </is>
      </c>
      <c r="U14" s="20" t="inlineStr">
        <is>
          <t>Bouwstenen (methoden, algoritmen, architecturen) in zes domeinen: assets, net (EMT/RMS), netgebruikers, kritieke OT, energiemarkten, digitale backbone; resultaten bedoeld voor de Nationale Faciliteit (DT-012); federatieprincipes</t>
        </is>
      </c>
      <c r="V14" s="20" t="inlineStr">
        <is>
          <t>Call-for-Proposals-NWO-TenneT-TSE-NL_0.pdf ; https://www.nwo.nl/en/researchprogrammes/knowledge-and-innovation-covenant/kic-2024-2027/demand-2024-2027/unlocking-digital-twin-capabilities-for-electricity-utilities</t>
        </is>
      </c>
      <c r="W14" s="20" t="n">
        <v>52.08</v>
      </c>
      <c r="X14" s="20" t="n">
        <v>4.31</v>
      </c>
      <c r="Y14" s="20" t="inlineStr">
        <is>
          <t>v4 of eerder</t>
        </is>
      </c>
      <c r="Z14" s="23" t="inlineStr">
        <is>
          <t>nee</t>
        </is>
      </c>
      <c r="AA14" s="20" t="inlineStr">
        <is>
          <t>Twin-instantie</t>
        </is>
      </c>
      <c r="AB14" s="20" t="inlineStr">
        <is>
          <t>Tweeling</t>
        </is>
      </c>
      <c r="AC14" s="20" t="inlineStr">
        <is>
          <t>Beoogd</t>
        </is>
      </c>
      <c r="AD14" s="20" t="inlineStr">
        <is>
          <t>5 Sturende tweeling (beoogd)</t>
        </is>
      </c>
      <c r="AE14" s="20" t="inlineStr">
        <is>
          <t>Elektriciteit</t>
        </is>
      </c>
      <c r="AF14" s="20" t="inlineStr">
        <is>
          <t>Trekker/eigenaar</t>
        </is>
      </c>
      <c r="AG14" s="20" t="inlineStr">
        <is>
          <t>B primaire bron</t>
        </is>
      </c>
    </row>
    <row r="15" ht="28.35" customHeight="1" s="15">
      <c r="A15" s="20" t="inlineStr">
        <is>
          <t>DT-014</t>
        </is>
      </c>
      <c r="B15" s="20" t="inlineStr">
        <is>
          <t>R</t>
        </is>
      </c>
      <c r="C15" s="20" t="inlineStr">
        <is>
          <t>Faciliteit of R&amp;D (NL)</t>
        </is>
      </c>
      <c r="D15" s="20" t="inlineStr">
        <is>
          <t>Control Room of the Future en Digital Twin elektriciteitsnetwerk (ESP-lab TU Delft)</t>
        </is>
      </c>
      <c r="E15" s="20" t="inlineStr">
        <is>
          <t>Energie</t>
        </is>
      </c>
      <c r="F15" s="20" t="inlineStr">
        <is>
          <t>NL</t>
        </is>
      </c>
      <c r="G15" s="20" t="inlineStr">
        <is>
          <t>NL</t>
        </is>
      </c>
      <c r="H15" s="20" t="inlineStr">
        <is>
          <t>Faciliteit/R&amp;D</t>
        </is>
      </c>
      <c r="I15" s="20" t="inlineStr">
        <is>
          <t>Sturing &amp; optimalisatie</t>
        </is>
      </c>
      <c r="J15" s="20" t="inlineStr">
        <is>
          <t>Onderzoek &amp; training</t>
        </is>
      </c>
      <c r="K15" s="20" t="inlineStr">
        <is>
          <t>Net / nationaal systeem</t>
        </is>
      </c>
      <c r="L15" s="20" t="inlineStr">
        <is>
          <t>Tweeling</t>
        </is>
      </c>
      <c r="M15" s="20" t="inlineStr">
        <is>
          <t>Elektriciteit</t>
        </is>
      </c>
      <c r="N15" s="20" t="inlineStr">
        <is>
          <t>3 Demonstratie/lab</t>
        </is>
      </c>
      <c r="O15" s="20" t="inlineStr">
        <is>
          <t>ADE 4.3</t>
        </is>
      </c>
      <c r="P15" s="20" t="inlineStr">
        <is>
          <t>ADE;HORIZON</t>
        </is>
      </c>
      <c r="Q15" s="20" t="n"/>
      <c r="R15" s="20" t="inlineStr">
        <is>
          <t>TU Delft met TenneT, Alliander, Stedin, Siemens, GE</t>
        </is>
      </c>
      <c r="S15" s="20" t="inlineStr">
        <is>
          <t>Trekker</t>
        </is>
      </c>
      <c r="T15" s="20" t="inlineStr">
        <is>
          <t>Operationeel lab</t>
        </is>
      </c>
      <c r="U15" s="20" t="inlineStr">
        <is>
          <t>Testomgeving voor operatie, AI en cyberweerbaarheid; het lab simuleert het hele Nederlandse net (met TenneT) om ingrepen als nieuwe windparken, elektrisch laden en cyberaanvallen te testen; verhouding tot DT-012 en DT-027 te verifiëren</t>
        </is>
      </c>
      <c r="V15" s="20" t="inlineStr">
        <is>
          <t>https://www.tudelft.nl/en/eemcs/research/facilities/esp-lab/infrastructure/digital-twin ; https://www.tudelft.nl/ewi/onderzoek/faciliteiten/esp-lab/infrastructuur/digital-twin-elektriciteitsnetwerk</t>
        </is>
      </c>
      <c r="W15" s="20" t="n">
        <v>52</v>
      </c>
      <c r="X15" s="20" t="n">
        <v>4.37</v>
      </c>
      <c r="Y15" s="20" t="inlineStr">
        <is>
          <t>v4 of eerder</t>
        </is>
      </c>
      <c r="Z15" s="23" t="inlineStr">
        <is>
          <t>nee</t>
        </is>
      </c>
      <c r="AA15" s="20" t="inlineStr">
        <is>
          <t>Twin-instantie</t>
        </is>
      </c>
      <c r="AB15" s="20" t="inlineStr">
        <is>
          <t>Tweeling</t>
        </is>
      </c>
      <c r="AC15" s="20" t="inlineStr">
        <is>
          <t>Gerealiseerd</t>
        </is>
      </c>
      <c r="AD15" s="20" t="inlineStr">
        <is>
          <t>5 Sturende tweeling</t>
        </is>
      </c>
      <c r="AE15" s="20" t="inlineStr">
        <is>
          <t>Elektriciteit</t>
        </is>
      </c>
      <c r="AF15" s="20" t="inlineStr">
        <is>
          <t>Trekker/eigenaar</t>
        </is>
      </c>
      <c r="AG15" s="20" t="inlineStr">
        <is>
          <t>B primaire bron</t>
        </is>
      </c>
    </row>
    <row r="16" ht="28.35" customHeight="1" s="15">
      <c r="A16" s="20" t="inlineStr">
        <is>
          <t>DT-015</t>
        </is>
      </c>
      <c r="B16" s="20" t="inlineStr">
        <is>
          <t>R</t>
        </is>
      </c>
      <c r="C16" s="20" t="inlineStr">
        <is>
          <t>Faciliteit of R&amp;D (NL)</t>
        </is>
      </c>
      <c r="D16" s="20" t="inlineStr">
        <is>
          <t>TU Delft / TenneT simulatie Nederlands transportnet</t>
        </is>
      </c>
      <c r="E16" s="20" t="inlineStr">
        <is>
          <t>Energie</t>
        </is>
      </c>
      <c r="F16" s="20" t="inlineStr">
        <is>
          <t>NL</t>
        </is>
      </c>
      <c r="G16" s="20" t="inlineStr">
        <is>
          <t>NL</t>
        </is>
      </c>
      <c r="H16" s="20" t="inlineStr">
        <is>
          <t>Faciliteit/R&amp;D</t>
        </is>
      </c>
      <c r="I16" s="20" t="inlineStr">
        <is>
          <t>Scenario &amp; planning</t>
        </is>
      </c>
      <c r="J16" s="20" t="inlineStr">
        <is>
          <t>Onderzoek &amp; training</t>
        </is>
      </c>
      <c r="K16" s="20" t="inlineStr">
        <is>
          <t>Net / nationaal systeem</t>
        </is>
      </c>
      <c r="L16" s="20" t="inlineStr">
        <is>
          <t>Schaduw</t>
        </is>
      </c>
      <c r="M16" s="20" t="inlineStr">
        <is>
          <t>Elektriciteit</t>
        </is>
      </c>
      <c r="N16" s="20" t="inlineStr">
        <is>
          <t>3 Demonstratie/lab</t>
        </is>
      </c>
      <c r="O16" s="20" t="inlineStr">
        <is>
          <t>ADE 1.1.3</t>
        </is>
      </c>
      <c r="P16" s="20" t="inlineStr">
        <is>
          <t>ADE</t>
        </is>
      </c>
      <c r="Q16" s="20" t="inlineStr">
        <is>
          <t>BS-CIM</t>
        </is>
      </c>
      <c r="R16" s="20" t="inlineStr">
        <is>
          <t>TU Delft, TenneT</t>
        </is>
      </c>
      <c r="S16" s="20" t="inlineStr">
        <is>
          <t>Trekker</t>
        </is>
      </c>
      <c r="T16" s="20" t="inlineStr">
        <is>
          <t>Onderzoek; ca. kwart transportnet, uitbreiding gepland</t>
        </is>
      </c>
      <c r="U16" s="20" t="inlineStr">
        <is>
          <t>Voorloper nationale faciliteit</t>
        </is>
      </c>
      <c r="V16" s="20" t="inlineStr">
        <is>
          <t>https://www.entsoe.eu/technopedia/techsheets/digital-twin-dt/</t>
        </is>
      </c>
      <c r="W16" s="20" t="n">
        <v>52</v>
      </c>
      <c r="X16" s="20" t="n">
        <v>4.37</v>
      </c>
      <c r="Y16" s="20" t="inlineStr">
        <is>
          <t>v4 of eerder</t>
        </is>
      </c>
      <c r="Z16" s="23" t="inlineStr">
        <is>
          <t>nee</t>
        </is>
      </c>
      <c r="AA16" s="20" t="inlineStr">
        <is>
          <t>Twin-instantie</t>
        </is>
      </c>
      <c r="AB16" s="20" t="inlineStr">
        <is>
          <t>Schaduw</t>
        </is>
      </c>
      <c r="AC16" s="20" t="inlineStr">
        <is>
          <t>Gerealiseerd</t>
        </is>
      </c>
      <c r="AD16" s="20" t="inlineStr">
        <is>
          <t>4 Scenario-tweeling</t>
        </is>
      </c>
      <c r="AE16" s="20" t="inlineStr">
        <is>
          <t>Elektriciteit</t>
        </is>
      </c>
      <c r="AF16" s="20" t="inlineStr">
        <is>
          <t>Trekker/eigenaar</t>
        </is>
      </c>
      <c r="AG16" s="20" t="inlineStr">
        <is>
          <t>B primaire bron</t>
        </is>
      </c>
    </row>
    <row r="17" ht="41.75" customHeight="1" s="15">
      <c r="A17" s="20" t="inlineStr">
        <is>
          <t>DT-016</t>
        </is>
      </c>
      <c r="B17" s="20" t="inlineStr">
        <is>
          <t>R</t>
        </is>
      </c>
      <c r="C17" s="20" t="inlineStr">
        <is>
          <t>Faciliteit of R&amp;D (NL)</t>
        </is>
      </c>
      <c r="D17" s="20" t="inlineStr">
        <is>
          <t>SynergyS: Smart Multi-Commodity Energy System</t>
        </is>
      </c>
      <c r="E17" s="20" t="inlineStr">
        <is>
          <t>Energie</t>
        </is>
      </c>
      <c r="F17" s="20" t="inlineStr">
        <is>
          <t>NL</t>
        </is>
      </c>
      <c r="G17" s="20" t="inlineStr">
        <is>
          <t>NL</t>
        </is>
      </c>
      <c r="H17" s="20" t="inlineStr">
        <is>
          <t>Faciliteit/R&amp;D</t>
        </is>
      </c>
      <c r="I17" s="20" t="inlineStr">
        <is>
          <t>Sturing &amp; optimalisatie</t>
        </is>
      </c>
      <c r="J17" s="20" t="inlineStr">
        <is>
          <t>Onderzoek &amp; training</t>
        </is>
      </c>
      <c r="K17" s="20" t="inlineStr">
        <is>
          <t>Wijk / bedrijventerrein / hub</t>
        </is>
      </c>
      <c r="L17" s="20" t="inlineStr">
        <is>
          <t>Tweeling (lab)</t>
        </is>
      </c>
      <c r="M17" s="20" t="inlineStr">
        <is>
          <t>Elektriciteit, H2, warmte</t>
        </is>
      </c>
      <c r="N17" s="20" t="inlineStr">
        <is>
          <t>3 Demonstratie/lab</t>
        </is>
      </c>
      <c r="O17" s="20" t="inlineStr">
        <is>
          <t>Systeemintegratie (MOOI/TSE)</t>
        </is>
      </c>
      <c r="P17" s="20" t="inlineStr">
        <is>
          <t>TSE-INNOV</t>
        </is>
      </c>
      <c r="Q17" s="20" t="n"/>
      <c r="R17" s="20" t="inlineStr">
        <is>
          <t>Hanze, TU Delft, RUG, TNO, Groningen Seaports, Energiecampus Leeuwarden e.a.</t>
        </is>
      </c>
      <c r="S17" s="20" t="inlineStr">
        <is>
          <t>Trekker</t>
        </is>
      </c>
      <c r="T17" s="20" t="inlineStr">
        <is>
          <t>Afgerond (kennisbank 9-12-2025)</t>
        </is>
      </c>
      <c r="U17" s="20" t="inlineStr">
        <is>
          <t>Multi-commodity sturing via lokale markt en digital twins; relevant voor energiehubs</t>
        </is>
      </c>
      <c r="V17" s="20" t="inlineStr">
        <is>
          <t>https://energy-innovation.nl/nl/kennisbank/synergys/</t>
        </is>
      </c>
      <c r="W17" s="20" t="n">
        <v>53.22</v>
      </c>
      <c r="X17" s="20" t="n">
        <v>6.57</v>
      </c>
      <c r="Y17" s="20" t="inlineStr">
        <is>
          <t>v4 of eerder</t>
        </is>
      </c>
      <c r="Z17" s="23" t="inlineStr">
        <is>
          <t>nee</t>
        </is>
      </c>
      <c r="AA17" s="20" t="inlineStr">
        <is>
          <t>Twin-instantie</t>
        </is>
      </c>
      <c r="AB17" s="20" t="inlineStr">
        <is>
          <t>Tweeling</t>
        </is>
      </c>
      <c r="AC17" s="20" t="inlineStr">
        <is>
          <t>Lab</t>
        </is>
      </c>
      <c r="AD17" s="20" t="inlineStr">
        <is>
          <t>5 Sturende tweeling (lab)</t>
        </is>
      </c>
      <c r="AE17" s="20" t="inlineStr">
        <is>
          <t>Elektriciteit; Waterstof; Warmte/koude (multi-commodity)</t>
        </is>
      </c>
      <c r="AF17" s="20" t="inlineStr">
        <is>
          <t>Trekker/eigenaar</t>
        </is>
      </c>
      <c r="AG17" s="20" t="inlineStr">
        <is>
          <t>B primaire bron</t>
        </is>
      </c>
    </row>
    <row r="18" ht="41.75" customHeight="1" s="15">
      <c r="A18" s="20" t="inlineStr">
        <is>
          <t>DT-017</t>
        </is>
      </c>
      <c r="B18" s="20" t="inlineStr">
        <is>
          <t>R</t>
        </is>
      </c>
      <c r="C18" s="20" t="inlineStr">
        <is>
          <t>Faciliteit of R&amp;D (NL)</t>
        </is>
      </c>
      <c r="D18" s="20" t="inlineStr">
        <is>
          <t>Digital Twin as a Service-testbeds (Geonovum)</t>
        </is>
      </c>
      <c r="E18" s="20" t="inlineStr">
        <is>
          <t>GO</t>
        </is>
      </c>
      <c r="F18" s="20" t="inlineStr">
        <is>
          <t>NL</t>
        </is>
      </c>
      <c r="G18" s="20" t="inlineStr">
        <is>
          <t>NL</t>
        </is>
      </c>
      <c r="H18" s="20" t="inlineStr">
        <is>
          <t>Faciliteit/R&amp;D</t>
        </is>
      </c>
      <c r="I18" s="20" t="inlineStr">
        <is>
          <t>Onderzoek &amp; training</t>
        </is>
      </c>
      <c r="J18" s="20" t="inlineStr">
        <is>
          <t>Ontwerp &amp; engineering</t>
        </is>
      </c>
      <c r="K18" s="20" t="inlineStr">
        <is>
          <t>Gemeente / regio</t>
        </is>
      </c>
      <c r="L18" s="20" t="inlineStr">
        <is>
          <t>n.v.t.</t>
        </is>
      </c>
      <c r="M18" s="20" t="inlineStr">
        <is>
          <t>n.v.t.</t>
        </is>
      </c>
      <c r="N18" s="20" t="inlineStr">
        <is>
          <t>3 Demonstratie/lab</t>
        </is>
      </c>
      <c r="O18" s="20" t="inlineStr">
        <is>
          <t>NLDT</t>
        </is>
      </c>
      <c r="P18" s="20" t="inlineStr">
        <is>
          <t>NLDT</t>
        </is>
      </c>
      <c r="Q18" s="20" t="n"/>
      <c r="R18" s="20" t="inlineStr">
        <is>
          <t>Geonovum; Almere, Dronten, Rotterdam, Dordrecht, Zwolle</t>
        </is>
      </c>
      <c r="S18" s="20" t="inlineStr">
        <is>
          <t>Trekker</t>
        </is>
      </c>
      <c r="T18" s="20" t="inlineStr">
        <is>
          <t>Testbed 1 (2024), Testbed 2 (2025) en Testbed 2026 'Processes and Recipes' lopend</t>
        </is>
      </c>
      <c r="U18" s="20" t="inlineStr">
        <is>
          <t>Testbedformat met koppelvlakken en 'recepten' is ook bruikbaar om een energie-use case op NLDT-architectuur te beproeven</t>
        </is>
      </c>
      <c r="V18" s="20" t="inlineStr">
        <is>
          <t>https://dmi-ecosysteem.nl/blog/communitydag-met-digital-twins-gaat-het-leven/</t>
        </is>
      </c>
      <c r="W18" s="20" t="n">
        <v>52.16</v>
      </c>
      <c r="X18" s="20" t="n">
        <v>5.39</v>
      </c>
      <c r="Y18" s="20" t="inlineStr">
        <is>
          <t>v6</t>
        </is>
      </c>
      <c r="Z18" s="23" t="inlineStr">
        <is>
          <t>nee</t>
        </is>
      </c>
      <c r="AA18" s="20" t="inlineStr">
        <is>
          <t>Twin-instantie</t>
        </is>
      </c>
      <c r="AB18" s="20" t="inlineStr">
        <is>
          <t>n.v.t.</t>
        </is>
      </c>
      <c r="AC18" s="20" t="inlineStr">
        <is>
          <t>n.v.t.</t>
        </is>
      </c>
      <c r="AD18" s="20" t="inlineStr">
        <is>
          <t>-</t>
        </is>
      </c>
      <c r="AE18" s="20" t="inlineStr">
        <is>
          <t>n.v.t.</t>
        </is>
      </c>
      <c r="AF18" s="20" t="inlineStr">
        <is>
          <t>Trekker/eigenaar</t>
        </is>
      </c>
      <c r="AG18" s="20" t="inlineStr">
        <is>
          <t>B primaire bron</t>
        </is>
      </c>
    </row>
    <row r="19" ht="41.75" customHeight="1" s="15">
      <c r="A19" s="20" t="inlineStr">
        <is>
          <t>DT-018</t>
        </is>
      </c>
      <c r="B19" s="20" t="inlineStr">
        <is>
          <t>R</t>
        </is>
      </c>
      <c r="C19" s="20" t="inlineStr">
        <is>
          <t>Faciliteit of R&amp;D (NL)</t>
        </is>
      </c>
      <c r="D19" s="20" t="inlineStr">
        <is>
          <t>Fieldlabs nDTFL (Flevoland/Almere, Utrecht/Amersfoort, RWS, Nijmegen, Zuid-Holland, Breda/Den Bosch)</t>
        </is>
      </c>
      <c r="E19" s="20" t="inlineStr">
        <is>
          <t>GO</t>
        </is>
      </c>
      <c r="F19" s="20" t="inlineStr">
        <is>
          <t>NL</t>
        </is>
      </c>
      <c r="G19" s="20" t="inlineStr">
        <is>
          <t>NL</t>
        </is>
      </c>
      <c r="H19" s="20" t="inlineStr">
        <is>
          <t>Faciliteit/R&amp;D</t>
        </is>
      </c>
      <c r="I19" s="20" t="inlineStr">
        <is>
          <t>Gezamenlijke besluitvorming</t>
        </is>
      </c>
      <c r="J19" s="20" t="inlineStr">
        <is>
          <t>Scenario &amp; planning</t>
        </is>
      </c>
      <c r="K19" s="20" t="inlineStr">
        <is>
          <t>Gemeente / regio</t>
        </is>
      </c>
      <c r="L19" s="20" t="inlineStr">
        <is>
          <t>Model</t>
        </is>
      </c>
      <c r="M19" s="20" t="inlineStr">
        <is>
          <t>n.v.t.</t>
        </is>
      </c>
      <c r="N19" s="20" t="inlineStr">
        <is>
          <t>3 Demonstratie/lab</t>
        </is>
      </c>
      <c r="O19" s="20" t="inlineStr">
        <is>
          <t>NLDT</t>
        </is>
      </c>
      <c r="P19" s="20" t="inlineStr">
        <is>
          <t>NLDT</t>
        </is>
      </c>
      <c r="Q19" s="20" t="n"/>
      <c r="R19" s="20" t="inlineStr">
        <is>
          <t>Geonovum i.o.v. BZK, RWS en provincie Zuid-Holland</t>
        </is>
      </c>
      <c r="S19" s="20" t="inlineStr">
        <is>
          <t>Trekker</t>
        </is>
      </c>
      <c r="T19" s="20" t="inlineStr">
        <is>
          <t>Historisch (2021-2022); opgevolgd door nLDT-programma en testbeds</t>
        </is>
      </c>
      <c r="U19" s="20" t="inlineStr">
        <is>
          <t>'DT Energie' stond al als dataspace in het nDTFL-voorstel; de koppeling is daarna niet uitgewerkt</t>
        </is>
      </c>
      <c r="V19" s="20" t="inlineStr">
        <is>
          <t>Presentatie nDTFL (Geonovum) en Investeringsvoorstel DTFL (2021)</t>
        </is>
      </c>
      <c r="W19" s="20" t="n">
        <v>52.16</v>
      </c>
      <c r="X19" s="20" t="n">
        <v>5.39</v>
      </c>
      <c r="Y19" s="20" t="inlineStr">
        <is>
          <t>v6</t>
        </is>
      </c>
      <c r="Z19" s="23" t="inlineStr">
        <is>
          <t>nee</t>
        </is>
      </c>
      <c r="AA19" s="20" t="inlineStr">
        <is>
          <t>Twin-instantie</t>
        </is>
      </c>
      <c r="AB19" s="20" t="inlineStr">
        <is>
          <t>Model</t>
        </is>
      </c>
      <c r="AC19" s="20" t="inlineStr">
        <is>
          <t>Gerealiseerd</t>
        </is>
      </c>
      <c r="AD19" s="20" t="inlineStr">
        <is>
          <t>1 Digitaal model</t>
        </is>
      </c>
      <c r="AE19" s="20" t="inlineStr">
        <is>
          <t>n.v.t.</t>
        </is>
      </c>
      <c r="AF19" s="20" t="inlineStr">
        <is>
          <t>Trekker/eigenaar</t>
        </is>
      </c>
      <c r="AG19" s="20" t="inlineStr">
        <is>
          <t>C secundaire bron</t>
        </is>
      </c>
    </row>
    <row r="20" ht="41.75" customHeight="1" s="15">
      <c r="A20" s="20" t="inlineStr">
        <is>
          <t>DT-019</t>
        </is>
      </c>
      <c r="B20" s="20" t="inlineStr">
        <is>
          <t>R</t>
        </is>
      </c>
      <c r="C20" s="20" t="inlineStr">
        <is>
          <t>Faciliteit of R&amp;D (NL)</t>
        </is>
      </c>
      <c r="D20" s="20" t="inlineStr">
        <is>
          <t>Rijkswaterstaat: regie op digital twins</t>
        </is>
      </c>
      <c r="E20" s="20" t="inlineStr">
        <is>
          <t>Overig</t>
        </is>
      </c>
      <c r="F20" s="20" t="inlineStr">
        <is>
          <t>NL</t>
        </is>
      </c>
      <c r="G20" s="20" t="inlineStr">
        <is>
          <t>NL</t>
        </is>
      </c>
      <c r="H20" s="20" t="inlineStr">
        <is>
          <t>Faciliteit/R&amp;D</t>
        </is>
      </c>
      <c r="I20" s="20" t="inlineStr">
        <is>
          <t>Inzicht &amp; monitoring</t>
        </is>
      </c>
      <c r="J20" s="20" t="inlineStr">
        <is>
          <t>Voorspellen</t>
        </is>
      </c>
      <c r="K20" s="20" t="inlineStr">
        <is>
          <t>Net / nationaal systeem</t>
        </is>
      </c>
      <c r="L20" s="20" t="inlineStr">
        <is>
          <t>Model/schaduw</t>
        </is>
      </c>
      <c r="M20" s="20" t="inlineStr">
        <is>
          <t>n.v.t.</t>
        </is>
      </c>
      <c r="N20" s="20" t="inlineStr">
        <is>
          <t>3 Demonstratie/lab</t>
        </is>
      </c>
      <c r="O20" s="20" t="inlineStr">
        <is>
          <t>-</t>
        </is>
      </c>
      <c r="P20" s="20" t="inlineStr">
        <is>
          <t>-</t>
        </is>
      </c>
      <c r="Q20" s="20" t="n"/>
      <c r="R20" s="20" t="inlineStr">
        <is>
          <t>Rijkswaterstaat; ca. 40 experimenten, o.a. IJsselbrug en Maeslantkering</t>
        </is>
      </c>
      <c r="S20" s="20" t="inlineStr">
        <is>
          <t>Trekker</t>
        </is>
      </c>
      <c r="T20" s="20" t="inlineStr">
        <is>
          <t>Sinds 2022</t>
        </is>
      </c>
      <c r="U20" s="20" t="inlineStr">
        <is>
          <t>Voorbeeld van centrale regie op veel twin-experimenten binnen één organisatie</t>
        </is>
      </c>
      <c r="V20" s="20" t="inlineStr">
        <is>
          <t>https://dutchitchannel.nl/706207/rijkswaterstaat-neemt-regie-bij-digital-twins.html</t>
        </is>
      </c>
      <c r="W20" s="20" t="n">
        <v>52.09</v>
      </c>
      <c r="X20" s="20" t="n">
        <v>5.12</v>
      </c>
      <c r="Y20" s="20" t="inlineStr">
        <is>
          <t>v6</t>
        </is>
      </c>
      <c r="Z20" s="23" t="inlineStr">
        <is>
          <t>nee</t>
        </is>
      </c>
      <c r="AA20" s="20" t="inlineStr">
        <is>
          <t>Twin-instantie</t>
        </is>
      </c>
      <c r="AB20" s="20" t="inlineStr">
        <is>
          <t>Model of schaduw (onzeker)</t>
        </is>
      </c>
      <c r="AC20" s="20" t="inlineStr">
        <is>
          <t>Gerealiseerd</t>
        </is>
      </c>
      <c r="AD20" s="20" t="inlineStr">
        <is>
          <t>3 Voorspellende schaduw</t>
        </is>
      </c>
      <c r="AE20" s="20" t="inlineStr">
        <is>
          <t>n.v.t.</t>
        </is>
      </c>
      <c r="AF20" s="20" t="inlineStr">
        <is>
          <t>Trekker/eigenaar</t>
        </is>
      </c>
      <c r="AG20" s="20" t="inlineStr">
        <is>
          <t>C secundaire bron</t>
        </is>
      </c>
    </row>
    <row r="21" ht="41.75" customHeight="1" s="15">
      <c r="A21" s="20" t="inlineStr">
        <is>
          <t>DT-020</t>
        </is>
      </c>
      <c r="B21" s="20" t="inlineStr">
        <is>
          <t>R</t>
        </is>
      </c>
      <c r="C21" s="20" t="inlineStr">
        <is>
          <t>Faciliteit of R&amp;D (NL)</t>
        </is>
      </c>
      <c r="D21" s="20" t="inlineStr">
        <is>
          <t>Digital Twin Geohub (Universiteit Twente / ITC)</t>
        </is>
      </c>
      <c r="E21" s="20" t="inlineStr">
        <is>
          <t>GO</t>
        </is>
      </c>
      <c r="F21" s="20" t="inlineStr">
        <is>
          <t>NL</t>
        </is>
      </c>
      <c r="G21" s="20" t="inlineStr">
        <is>
          <t>NL</t>
        </is>
      </c>
      <c r="H21" s="20" t="inlineStr">
        <is>
          <t>Faciliteit/R&amp;D</t>
        </is>
      </c>
      <c r="I21" s="20" t="inlineStr">
        <is>
          <t>Onderzoek &amp; training</t>
        </is>
      </c>
      <c r="J21" s="20" t="inlineStr">
        <is>
          <t>Scenario &amp; planning</t>
        </is>
      </c>
      <c r="K21" s="20" t="inlineStr">
        <is>
          <t>Gemeente / regio</t>
        </is>
      </c>
      <c r="L21" s="20" t="inlineStr">
        <is>
          <t>n.v.t.</t>
        </is>
      </c>
      <c r="M21" s="20" t="inlineStr">
        <is>
          <t>n.v.t.</t>
        </is>
      </c>
      <c r="N21" s="20" t="inlineStr">
        <is>
          <t>3 Demonstratie/lab</t>
        </is>
      </c>
      <c r="O21" s="20" t="inlineStr">
        <is>
          <t>-</t>
        </is>
      </c>
      <c r="P21" s="20" t="inlineStr">
        <is>
          <t>-</t>
        </is>
      </c>
      <c r="Q21" s="20" t="n"/>
      <c r="R21" s="20" t="inlineStr">
        <is>
          <t>Universiteit Twente; o.a. planningsondersteuning Enschede</t>
        </is>
      </c>
      <c r="S21" s="20" t="inlineStr">
        <is>
          <t>Trekker</t>
        </is>
      </c>
      <c r="T21" s="20" t="inlineStr">
        <is>
          <t>Onderzoek</t>
        </is>
      </c>
      <c r="U21" s="20" t="inlineStr">
        <is>
          <t>Kennispartner voor TwinTwente en regionale GO-twins</t>
        </is>
      </c>
      <c r="V21" s="20" t="inlineStr">
        <is>
          <t>https://www.utwente.nl/en/digital-society/research/digitalisation/digital-twin-geohub/projects/</t>
        </is>
      </c>
      <c r="W21" s="20" t="n">
        <v>52.24</v>
      </c>
      <c r="X21" s="20" t="n">
        <v>6.85</v>
      </c>
      <c r="Y21" s="20" t="inlineStr">
        <is>
          <t>v6</t>
        </is>
      </c>
      <c r="Z21" s="23" t="inlineStr">
        <is>
          <t>nee</t>
        </is>
      </c>
      <c r="AA21" s="20" t="inlineStr">
        <is>
          <t>Twin-instantie</t>
        </is>
      </c>
      <c r="AB21" s="20" t="inlineStr">
        <is>
          <t>n.v.t.</t>
        </is>
      </c>
      <c r="AC21" s="20" t="inlineStr">
        <is>
          <t>n.v.t.</t>
        </is>
      </c>
      <c r="AD21" s="20" t="inlineStr">
        <is>
          <t>-</t>
        </is>
      </c>
      <c r="AE21" s="20" t="inlineStr">
        <is>
          <t>n.v.t.</t>
        </is>
      </c>
      <c r="AF21" s="20" t="inlineStr">
        <is>
          <t>Trekker/eigenaar</t>
        </is>
      </c>
      <c r="AG21" s="20" t="inlineStr">
        <is>
          <t>B primaire bron</t>
        </is>
      </c>
    </row>
    <row r="22" ht="28.35" customHeight="1" s="15">
      <c r="A22" s="20" t="inlineStr">
        <is>
          <t>DT-021</t>
        </is>
      </c>
      <c r="B22" s="20" t="inlineStr">
        <is>
          <t>R</t>
        </is>
      </c>
      <c r="C22" s="20" t="inlineStr">
        <is>
          <t>Faciliteit of R&amp;D (NL)</t>
        </is>
      </c>
      <c r="D22" s="20" t="inlineStr">
        <is>
          <t>Centre for BOLD Cities: Urban Digital Twins</t>
        </is>
      </c>
      <c r="E22" s="20" t="inlineStr">
        <is>
          <t>GO</t>
        </is>
      </c>
      <c r="F22" s="20" t="inlineStr">
        <is>
          <t>NL</t>
        </is>
      </c>
      <c r="G22" s="20" t="inlineStr">
        <is>
          <t>NL</t>
        </is>
      </c>
      <c r="H22" s="20" t="inlineStr">
        <is>
          <t>Faciliteit/R&amp;D</t>
        </is>
      </c>
      <c r="I22" s="20" t="inlineStr">
        <is>
          <t>Onderzoek &amp; training</t>
        </is>
      </c>
      <c r="J22" s="20" t="inlineStr">
        <is>
          <t>Gezamenlijke besluitvorming</t>
        </is>
      </c>
      <c r="K22" s="20" t="inlineStr">
        <is>
          <t>Gemeente / regio</t>
        </is>
      </c>
      <c r="L22" s="20" t="inlineStr">
        <is>
          <t>n.v.t.</t>
        </is>
      </c>
      <c r="M22" s="20" t="inlineStr">
        <is>
          <t>n.v.t.</t>
        </is>
      </c>
      <c r="N22" s="20" t="inlineStr">
        <is>
          <t>3 Demonstratie/lab</t>
        </is>
      </c>
      <c r="O22" s="20" t="inlineStr">
        <is>
          <t>-</t>
        </is>
      </c>
      <c r="P22" s="20" t="inlineStr">
        <is>
          <t>-</t>
        </is>
      </c>
      <c r="Q22" s="20" t="n"/>
      <c r="R22" s="20" t="inlineStr">
        <is>
          <t>Universiteit Leiden, Erasmus Universiteit, TU Delft</t>
        </is>
      </c>
      <c r="S22" s="20" t="inlineStr">
        <is>
          <t>Trekker</t>
        </is>
      </c>
      <c r="T22" s="20" t="inlineStr">
        <is>
          <t>Onderzoek</t>
        </is>
      </c>
      <c r="U22" s="20" t="inlineStr">
        <is>
          <t>Sociale en bestuurlijke kant van stedelijke twins; relevant voor gezamenlijke besluitvorming</t>
        </is>
      </c>
      <c r="V22" s="20" t="inlineStr">
        <is>
          <t>https://www.centre-for-bold-cities.nl/projects/urban-digital-twins</t>
        </is>
      </c>
      <c r="W22" s="20" t="n">
        <v>51.92</v>
      </c>
      <c r="X22" s="20" t="n">
        <v>4.48</v>
      </c>
      <c r="Y22" s="20" t="inlineStr">
        <is>
          <t>v6</t>
        </is>
      </c>
      <c r="Z22" s="23" t="inlineStr">
        <is>
          <t>nee</t>
        </is>
      </c>
      <c r="AA22" s="20" t="inlineStr">
        <is>
          <t>Twin-instantie</t>
        </is>
      </c>
      <c r="AB22" s="20" t="inlineStr">
        <is>
          <t>n.v.t.</t>
        </is>
      </c>
      <c r="AC22" s="20" t="inlineStr">
        <is>
          <t>n.v.t.</t>
        </is>
      </c>
      <c r="AD22" s="20" t="inlineStr">
        <is>
          <t>-</t>
        </is>
      </c>
      <c r="AE22" s="20" t="inlineStr">
        <is>
          <t>n.v.t.</t>
        </is>
      </c>
      <c r="AF22" s="20" t="inlineStr">
        <is>
          <t>Trekker/eigenaar</t>
        </is>
      </c>
      <c r="AG22" s="20" t="inlineStr">
        <is>
          <t>B primaire bron</t>
        </is>
      </c>
    </row>
    <row r="23" ht="68.65000000000001" customHeight="1" s="15">
      <c r="A23" s="20" t="inlineStr">
        <is>
          <t>DT-022</t>
        </is>
      </c>
      <c r="B23" s="20" t="inlineStr">
        <is>
          <t>R</t>
        </is>
      </c>
      <c r="C23" s="20" t="inlineStr">
        <is>
          <t>Faciliteit of R&amp;D (NL)</t>
        </is>
      </c>
      <c r="D23" s="20" t="inlineStr">
        <is>
          <t>DEMOSES: simulaties van toekomstige energiesystemen</t>
        </is>
      </c>
      <c r="E23" s="20" t="inlineStr">
        <is>
          <t>Energie</t>
        </is>
      </c>
      <c r="F23" s="20" t="inlineStr">
        <is>
          <t>NL</t>
        </is>
      </c>
      <c r="G23" s="20" t="inlineStr">
        <is>
          <t>NL</t>
        </is>
      </c>
      <c r="H23" s="20" t="inlineStr">
        <is>
          <t>Faciliteit/R&amp;D</t>
        </is>
      </c>
      <c r="I23" s="20" t="inlineStr">
        <is>
          <t>Scenario &amp; planning</t>
        </is>
      </c>
      <c r="J23" s="20" t="inlineStr">
        <is>
          <t>Onderzoek &amp; training</t>
        </is>
      </c>
      <c r="K23" s="20" t="inlineStr">
        <is>
          <t>Net / nationaal systeem</t>
        </is>
      </c>
      <c r="L23" s="20" t="inlineStr">
        <is>
          <t>Model</t>
        </is>
      </c>
      <c r="M23" s="20" t="inlineStr">
        <is>
          <t>Multi-commodity</t>
        </is>
      </c>
      <c r="N23" s="20" t="inlineStr">
        <is>
          <t>3 Demonstratie/lab</t>
        </is>
      </c>
      <c r="O23" s="20" t="inlineStr">
        <is>
          <t>-</t>
        </is>
      </c>
      <c r="P23" s="20" t="inlineStr">
        <is>
          <t>-</t>
        </is>
      </c>
      <c r="Q23" s="20" t="n"/>
      <c r="R23" s="20" t="inlineStr">
        <is>
          <t>TU Delft, TNO, TU/e, Eneco, AgroEnergy, Tata Steel, TenneT, Stedin, Alliander, Gasunie; Netherlands eScience Center</t>
        </is>
      </c>
      <c r="S23" s="20" t="inlineStr">
        <is>
          <t>Trekker</t>
        </is>
      </c>
      <c r="T23" s="20" t="inlineStr">
        <is>
          <t>Lopend onderzoek; computersimulaties van combinaties van flexibiliteit, opslag en opwek</t>
        </is>
      </c>
      <c r="U23" s="20" t="inlineStr">
        <is>
          <t>Rekenmodellen op systeemniveau; kandidaat-bouwsteen voor de Nationale Faciliteit (noemt zich geen twin)</t>
        </is>
      </c>
      <c r="V23" s="20" t="inlineStr">
        <is>
          <t>Rapport datagovernance 2026, use case P026: https://www.esciencecenter.nl/projects/designing-and-modelling-future-systems-of-energy-systems-demoses/</t>
        </is>
      </c>
      <c r="W23" s="20" t="n">
        <v>52</v>
      </c>
      <c r="X23" s="20" t="n">
        <v>4.37</v>
      </c>
      <c r="Y23" s="20" t="inlineStr">
        <is>
          <t>v7</t>
        </is>
      </c>
      <c r="Z23" s="23" t="inlineStr">
        <is>
          <t>nee</t>
        </is>
      </c>
      <c r="AA23" s="20" t="inlineStr">
        <is>
          <t>Twin-instantie</t>
        </is>
      </c>
      <c r="AB23" s="20" t="inlineStr">
        <is>
          <t>Model</t>
        </is>
      </c>
      <c r="AC23" s="20" t="inlineStr">
        <is>
          <t>Gerealiseerd</t>
        </is>
      </c>
      <c r="AD23" s="20" t="inlineStr">
        <is>
          <t>1 Digitaal model</t>
        </is>
      </c>
      <c r="AE23" s="20" t="inlineStr">
        <is>
          <t>Multi-commodity (dragers niet gespecificeerd)</t>
        </is>
      </c>
      <c r="AF23" s="20" t="inlineStr">
        <is>
          <t>Trekker/eigenaar</t>
        </is>
      </c>
      <c r="AG23" s="20" t="inlineStr">
        <is>
          <t>C secundaire bron</t>
        </is>
      </c>
    </row>
    <row r="24" ht="41.75" customHeight="1" s="15">
      <c r="A24" s="20" t="inlineStr">
        <is>
          <t>DT-023</t>
        </is>
      </c>
      <c r="B24" s="20" t="inlineStr">
        <is>
          <t>R</t>
        </is>
      </c>
      <c r="C24" s="20" t="inlineStr">
        <is>
          <t>Faciliteit of R&amp;D (NL)</t>
        </is>
      </c>
      <c r="D24" s="20" t="inlineStr">
        <is>
          <t>TeSopS: integraal techno-economisch-sociaal energiesysteemmodel</t>
        </is>
      </c>
      <c r="E24" s="20" t="inlineStr">
        <is>
          <t>Energie</t>
        </is>
      </c>
      <c r="F24" s="20" t="inlineStr">
        <is>
          <t>NL</t>
        </is>
      </c>
      <c r="G24" s="20" t="inlineStr">
        <is>
          <t>NL</t>
        </is>
      </c>
      <c r="H24" s="20" t="inlineStr">
        <is>
          <t>Faciliteit/R&amp;D</t>
        </is>
      </c>
      <c r="I24" s="20" t="inlineStr">
        <is>
          <t>Scenario &amp; planning</t>
        </is>
      </c>
      <c r="J24" s="20" t="inlineStr">
        <is>
          <t>Gezamenlijke besluitvorming</t>
        </is>
      </c>
      <c r="K24" s="20" t="inlineStr">
        <is>
          <t>Gemeente / regio</t>
        </is>
      </c>
      <c r="L24" s="20" t="inlineStr">
        <is>
          <t>Model</t>
        </is>
      </c>
      <c r="M24" s="20" t="inlineStr">
        <is>
          <t>Multi-commodity</t>
        </is>
      </c>
      <c r="N24" s="20" t="inlineStr">
        <is>
          <t>3 Demonstratie/lab</t>
        </is>
      </c>
      <c r="O24" s="20" t="inlineStr">
        <is>
          <t>-</t>
        </is>
      </c>
      <c r="P24" s="20" t="inlineStr">
        <is>
          <t>-</t>
        </is>
      </c>
      <c r="Q24" s="20" t="n"/>
      <c r="R24" s="20" t="inlineStr">
        <is>
          <t>Rijksuniversiteit Groningen, TNO, gemeente Groningen/WarmteStad, Enexis, ING, PowerChainger, De Groene Afslag; NWO</t>
        </is>
      </c>
      <c r="S24" s="20" t="inlineStr">
        <is>
          <t>Trekker</t>
        </is>
      </c>
      <c r="T24" s="20" t="inlineStr">
        <is>
          <t>Afgerond (NWO-onderzoek, gestart 2021)</t>
        </is>
      </c>
      <c r="U24" s="20" t="inlineStr">
        <is>
          <t>Voegt sociale en economische lagen toe aan het systeemmodel; relevant voor gezamenlijke besluitvorming in regionale twins</t>
        </is>
      </c>
      <c r="V24" s="20" t="inlineStr">
        <is>
          <t>Rapport datagovernance 2026, use case P025: https://www.rug.nl/news/2021/07/0701-nwo-esi-far-subsidie?lang=en</t>
        </is>
      </c>
      <c r="W24" s="20" t="n">
        <v>53.22</v>
      </c>
      <c r="X24" s="20" t="n">
        <v>6.57</v>
      </c>
      <c r="Y24" s="20" t="inlineStr">
        <is>
          <t>v7</t>
        </is>
      </c>
      <c r="Z24" s="23" t="inlineStr">
        <is>
          <t>nee</t>
        </is>
      </c>
      <c r="AA24" s="20" t="inlineStr">
        <is>
          <t>Twin-instantie</t>
        </is>
      </c>
      <c r="AB24" s="20" t="inlineStr">
        <is>
          <t>Model</t>
        </is>
      </c>
      <c r="AC24" s="20" t="inlineStr">
        <is>
          <t>Gerealiseerd</t>
        </is>
      </c>
      <c r="AD24" s="20" t="inlineStr">
        <is>
          <t>1 Digitaal model</t>
        </is>
      </c>
      <c r="AE24" s="20" t="inlineStr">
        <is>
          <t>Multi-commodity (dragers niet gespecificeerd)</t>
        </is>
      </c>
      <c r="AF24" s="20" t="inlineStr">
        <is>
          <t>Trekker/eigenaar</t>
        </is>
      </c>
      <c r="AG24" s="20" t="inlineStr">
        <is>
          <t>C secundaire bron</t>
        </is>
      </c>
    </row>
    <row r="25" ht="55.2" customHeight="1" s="15">
      <c r="A25" s="20" t="inlineStr">
        <is>
          <t>DT-024</t>
        </is>
      </c>
      <c r="B25" s="20" t="inlineStr">
        <is>
          <t>R</t>
        </is>
      </c>
      <c r="C25" s="20" t="inlineStr">
        <is>
          <t>Faciliteit of R&amp;D (NL)</t>
        </is>
      </c>
      <c r="D25" s="20" t="inlineStr">
        <is>
          <t>Realtime systeemwerking voor netwerkverbetering en transportefficiëntie (MOOI)</t>
        </is>
      </c>
      <c r="E25" s="20" t="inlineStr">
        <is>
          <t>Energie</t>
        </is>
      </c>
      <c r="F25" s="20" t="inlineStr">
        <is>
          <t>NL</t>
        </is>
      </c>
      <c r="G25" s="20" t="inlineStr">
        <is>
          <t>NL</t>
        </is>
      </c>
      <c r="H25" s="20" t="inlineStr">
        <is>
          <t>Faciliteit/R&amp;D</t>
        </is>
      </c>
      <c r="I25" s="20" t="inlineStr">
        <is>
          <t>Sturing &amp; optimalisatie</t>
        </is>
      </c>
      <c r="J25" s="20" t="inlineStr">
        <is>
          <t>Inzicht &amp; monitoring</t>
        </is>
      </c>
      <c r="K25" s="20" t="inlineStr">
        <is>
          <t>Net / nationaal systeem</t>
        </is>
      </c>
      <c r="L25" s="20" t="inlineStr">
        <is>
          <t>Tweeling (lab)</t>
        </is>
      </c>
      <c r="M25" s="20" t="inlineStr">
        <is>
          <t>Elektriciteit</t>
        </is>
      </c>
      <c r="N25" s="20" t="inlineStr">
        <is>
          <t>2 Pilot/PoC</t>
        </is>
      </c>
      <c r="O25" s="20" t="inlineStr">
        <is>
          <t>MOOI; ADE</t>
        </is>
      </c>
      <c r="P25" s="20" t="inlineStr">
        <is>
          <t>TSE-INNOV;ADE</t>
        </is>
      </c>
      <c r="Q25" s="20" t="n"/>
      <c r="R25" s="20" t="inlineStr">
        <is>
          <t>Alliander, Enexis, Stedin, TenneT, TU Eindhoven</t>
        </is>
      </c>
      <c r="S25" s="20" t="inlineStr">
        <is>
          <t>Trekker</t>
        </is>
      </c>
      <c r="T25" s="20" t="inlineStr">
        <is>
          <t>Afgerond (MOOI); stuuralgoritmes en systeemarchitecturen voor real-time operatie op LS en HS</t>
        </is>
      </c>
      <c r="U25" s="20" t="inlineStr">
        <is>
          <t>Alle netbeheerders samen aan real-time systeemoperatie: de operationele kant van een grid-twin, verwant aan Control Room of the Future</t>
        </is>
      </c>
      <c r="V25" s="20" t="inlineStr">
        <is>
          <t>Rapport datagovernance 2026, use case P016: https://www.duurzaam-ondernemen.nl/65-miljoen-euro-voor-circulaire-energie-innovatie-in-de-gebouwde-omgeving/</t>
        </is>
      </c>
      <c r="W25" s="20" t="n">
        <v>51.45</v>
      </c>
      <c r="X25" s="20" t="n">
        <v>5.48</v>
      </c>
      <c r="Y25" s="20" t="inlineStr">
        <is>
          <t>v7</t>
        </is>
      </c>
      <c r="Z25" s="23" t="inlineStr">
        <is>
          <t>nee</t>
        </is>
      </c>
      <c r="AA25" s="20" t="inlineStr">
        <is>
          <t>Twin-instantie</t>
        </is>
      </c>
      <c r="AB25" s="20" t="inlineStr">
        <is>
          <t>Tweeling</t>
        </is>
      </c>
      <c r="AC25" s="20" t="inlineStr">
        <is>
          <t>Lab</t>
        </is>
      </c>
      <c r="AD25" s="20" t="inlineStr">
        <is>
          <t>5 Sturende tweeling (lab)</t>
        </is>
      </c>
      <c r="AE25" s="20" t="inlineStr">
        <is>
          <t>Elektriciteit</t>
        </is>
      </c>
      <c r="AF25" s="20" t="inlineStr">
        <is>
          <t>Trekker/eigenaar</t>
        </is>
      </c>
      <c r="AG25" s="20" t="inlineStr">
        <is>
          <t>C secundaire bron</t>
        </is>
      </c>
    </row>
    <row r="26" ht="95.5" customHeight="1" s="15">
      <c r="A26" s="20" t="inlineStr">
        <is>
          <t>DT-025</t>
        </is>
      </c>
      <c r="B26" s="20" t="inlineStr">
        <is>
          <t>R</t>
        </is>
      </c>
      <c r="C26" s="20" t="inlineStr">
        <is>
          <t>Faciliteit of R&amp;D (NL)</t>
        </is>
      </c>
      <c r="D26" s="20" t="inlineStr">
        <is>
          <t>ORKEST: actief capaciteitsbeheer en asset intelligence (MOOI)</t>
        </is>
      </c>
      <c r="E26" s="20" t="inlineStr">
        <is>
          <t>Energie</t>
        </is>
      </c>
      <c r="F26" s="20" t="inlineStr">
        <is>
          <t>NL</t>
        </is>
      </c>
      <c r="G26" s="20" t="inlineStr">
        <is>
          <t>NL</t>
        </is>
      </c>
      <c r="H26" s="20" t="inlineStr">
        <is>
          <t>Faciliteit/R&amp;D</t>
        </is>
      </c>
      <c r="I26" s="20" t="inlineStr">
        <is>
          <t>Inzicht &amp; monitoring</t>
        </is>
      </c>
      <c r="J26" s="20" t="inlineStr">
        <is>
          <t>Sturing &amp; optimalisatie</t>
        </is>
      </c>
      <c r="K26" s="20" t="inlineStr">
        <is>
          <t>Net / nationaal systeem</t>
        </is>
      </c>
      <c r="L26" s="20" t="inlineStr">
        <is>
          <t>Model</t>
        </is>
      </c>
      <c r="M26" s="20" t="inlineStr">
        <is>
          <t>Elektriciteit</t>
        </is>
      </c>
      <c r="N26" s="20" t="inlineStr">
        <is>
          <t>2 Pilot/PoC</t>
        </is>
      </c>
      <c r="O26" s="20" t="inlineStr">
        <is>
          <t>MOOI</t>
        </is>
      </c>
      <c r="P26" s="20" t="inlineStr">
        <is>
          <t>TSE-INNOV</t>
        </is>
      </c>
      <c r="Q26" s="20" t="n"/>
      <c r="R26" s="20" t="inlineStr">
        <is>
          <t>Stedin, TU Eindhoven, Technolution, DNV, Netbeheer Nederland, Phase to Phase</t>
        </is>
      </c>
      <c r="S26" s="20" t="inlineStr">
        <is>
          <t>Trekker</t>
        </is>
      </c>
      <c r="T26" s="20" t="inlineStr">
        <is>
          <t>Lopend (MOOI); netdata en componentbelasting voor capaciteitsbeheer en betrouwbaarheidsanalyse</t>
        </is>
      </c>
      <c r="U26" s="20" t="inlineStr">
        <is>
          <t>Asset- en netmodellen bij Stedin; aanvulling op Stedin-netmodellen (DT-037)</t>
        </is>
      </c>
      <c r="V26" s="20" t="inlineStr">
        <is>
          <t>Rapport datagovernance 2026, use case P002: https://projecten.topsectorenergie.nl/projecten/orkest-optimal-integration-of-network-flexibiilty-and-asset-intelligence-to-increase-large-scale-integration-of-res-while-maintaining-reliability-37711</t>
        </is>
      </c>
      <c r="W26" s="20" t="n">
        <v>51.92</v>
      </c>
      <c r="X26" s="20" t="n">
        <v>4.48</v>
      </c>
      <c r="Y26" s="20" t="inlineStr">
        <is>
          <t>v7</t>
        </is>
      </c>
      <c r="Z26" s="23" t="inlineStr">
        <is>
          <t>nee</t>
        </is>
      </c>
      <c r="AA26" s="20" t="inlineStr">
        <is>
          <t>Twin-instantie</t>
        </is>
      </c>
      <c r="AB26" s="20" t="inlineStr">
        <is>
          <t>Model</t>
        </is>
      </c>
      <c r="AC26" s="20" t="inlineStr">
        <is>
          <t>Gerealiseerd</t>
        </is>
      </c>
      <c r="AD26" s="20" t="inlineStr">
        <is>
          <t>1 Digitaal model</t>
        </is>
      </c>
      <c r="AE26" s="20" t="inlineStr">
        <is>
          <t>Elektriciteit</t>
        </is>
      </c>
      <c r="AF26" s="20" t="inlineStr">
        <is>
          <t>Trekker/eigenaar</t>
        </is>
      </c>
      <c r="AG26" s="20" t="inlineStr">
        <is>
          <t>C secundaire bron</t>
        </is>
      </c>
    </row>
    <row r="27" ht="55.2" customHeight="1" s="15">
      <c r="A27" s="20" t="inlineStr">
        <is>
          <t>DT-026</t>
        </is>
      </c>
      <c r="B27" s="20" t="inlineStr">
        <is>
          <t>R</t>
        </is>
      </c>
      <c r="C27" s="20" t="inlineStr">
        <is>
          <t>Faciliteit of R&amp;D (NL)</t>
        </is>
      </c>
      <c r="D27" s="20" t="inlineStr">
        <is>
          <t>The Green Village: DC smart grid lab (TU Delft)</t>
        </is>
      </c>
      <c r="E27" s="20" t="inlineStr">
        <is>
          <t>Energie</t>
        </is>
      </c>
      <c r="F27" s="20" t="inlineStr">
        <is>
          <t>NL</t>
        </is>
      </c>
      <c r="G27" s="20" t="inlineStr">
        <is>
          <t>NL</t>
        </is>
      </c>
      <c r="H27" s="20" t="inlineStr">
        <is>
          <t>Faciliteit/R&amp;D</t>
        </is>
      </c>
      <c r="I27" s="20" t="inlineStr">
        <is>
          <t>Onderzoek &amp; training</t>
        </is>
      </c>
      <c r="J27" s="20" t="inlineStr">
        <is>
          <t>Ontwerp &amp; engineering</t>
        </is>
      </c>
      <c r="K27" s="20" t="inlineStr">
        <is>
          <t>Wijk / bedrijventerrein / hub</t>
        </is>
      </c>
      <c r="L27" s="20" t="inlineStr">
        <is>
          <t>n.v.t.</t>
        </is>
      </c>
      <c r="M27" s="20" t="inlineStr">
        <is>
          <t>Elektriciteit (DC), H2, warmte</t>
        </is>
      </c>
      <c r="N27" s="20" t="inlineStr">
        <is>
          <t>4 Operationeel</t>
        </is>
      </c>
      <c r="O27" s="20" t="inlineStr">
        <is>
          <t>-</t>
        </is>
      </c>
      <c r="P27" s="20" t="inlineStr">
        <is>
          <t>-</t>
        </is>
      </c>
      <c r="Q27" s="20" t="n"/>
      <c r="R27" s="20" t="inlineStr">
        <is>
          <t>TU Delft, The Green Village en projectpartners</t>
        </is>
      </c>
      <c r="S27" s="20" t="inlineStr">
        <is>
          <t>Trekker</t>
        </is>
      </c>
      <c r="T27" s="20" t="inlineStr">
        <is>
          <t>Operationele regelluwe proeftuin met waterstof-, gelijkspannings- en lagetemperatuurwarmtenetten</t>
        </is>
      </c>
      <c r="U27" s="20" t="inlineStr">
        <is>
          <t>Fysieke proeftuin om twins te valideren; schaalmodel ook gebruikt door SynergyS</t>
        </is>
      </c>
      <c r="V27" s="20" t="inlineStr">
        <is>
          <t>Rapport datagovernance 2026, use case P010: https://www.thegreenvillage.org/toekomstig-energiesysteem/</t>
        </is>
      </c>
      <c r="W27" s="20" t="n">
        <v>52</v>
      </c>
      <c r="X27" s="20" t="n">
        <v>4.37</v>
      </c>
      <c r="Y27" s="20" t="inlineStr">
        <is>
          <t>v7</t>
        </is>
      </c>
      <c r="Z27" s="23" t="inlineStr">
        <is>
          <t>nee</t>
        </is>
      </c>
      <c r="AA27" s="20" t="inlineStr">
        <is>
          <t>Twin-instantie</t>
        </is>
      </c>
      <c r="AB27" s="20" t="inlineStr">
        <is>
          <t>n.v.t.</t>
        </is>
      </c>
      <c r="AC27" s="20" t="inlineStr">
        <is>
          <t>n.v.t.</t>
        </is>
      </c>
      <c r="AD27" s="20" t="inlineStr">
        <is>
          <t>-</t>
        </is>
      </c>
      <c r="AE27" s="20" t="inlineStr">
        <is>
          <t>Elektriciteit; Waterstof; Warmte/koude (multi-commodity)</t>
        </is>
      </c>
      <c r="AF27" s="20" t="inlineStr">
        <is>
          <t>Trekker/eigenaar</t>
        </is>
      </c>
      <c r="AG27" s="20" t="inlineStr">
        <is>
          <t>C secundaire bron</t>
        </is>
      </c>
    </row>
    <row r="28" ht="82.05" customHeight="1" s="15">
      <c r="A28" s="20" t="inlineStr">
        <is>
          <t>DT-027</t>
        </is>
      </c>
      <c r="B28" s="20" t="inlineStr">
        <is>
          <t>R</t>
        </is>
      </c>
      <c r="C28" s="20" t="inlineStr">
        <is>
          <t>Faciliteit of R&amp;D (NL)</t>
        </is>
      </c>
      <c r="D28" s="20" t="inlineStr">
        <is>
          <t>UTOPYS: academische real-time EMT-simulator voor nationale elektriciteitssystemen (NWO LSRI)</t>
        </is>
      </c>
      <c r="E28" s="20" t="inlineStr">
        <is>
          <t>Energie</t>
        </is>
      </c>
      <c r="F28" s="20" t="inlineStr">
        <is>
          <t>NL</t>
        </is>
      </c>
      <c r="G28" s="20" t="inlineStr">
        <is>
          <t>NL</t>
        </is>
      </c>
      <c r="H28" s="20" t="inlineStr">
        <is>
          <t>Faciliteit/R&amp;D</t>
        </is>
      </c>
      <c r="I28" s="20" t="inlineStr">
        <is>
          <t>Onderzoek &amp; training</t>
        </is>
      </c>
      <c r="J28" s="20" t="inlineStr">
        <is>
          <t>Scenario &amp; planning, Voorspellen</t>
        </is>
      </c>
      <c r="K28" s="20" t="inlineStr">
        <is>
          <t>Net / nationaal systeem</t>
        </is>
      </c>
      <c r="L28" s="20" t="inlineStr">
        <is>
          <t>Tweeling (lab)</t>
        </is>
      </c>
      <c r="M28" s="20" t="inlineStr">
        <is>
          <t>Elektriciteit</t>
        </is>
      </c>
      <c r="N28" s="20" t="inlineStr">
        <is>
          <t>1 Verkenning</t>
        </is>
      </c>
      <c r="O28" s="20" t="inlineStr">
        <is>
          <t>-</t>
        </is>
      </c>
      <c r="P28" s="20" t="inlineStr">
        <is>
          <t>-</t>
        </is>
      </c>
      <c r="Q28" s="20" t="n"/>
      <c r="R28" s="20" t="inlineStr">
        <is>
          <t>TU Delft (trekker), TU/e, UT, RUG, UU, EUR, Radboud Universiteit, CWI; SURF</t>
        </is>
      </c>
      <c r="S28" s="20" t="inlineStr">
        <is>
          <t>Trekker</t>
        </is>
      </c>
      <c r="T28" s="20" t="inlineStr">
        <is>
          <t>NWO LSRI toegekend (EUR 16,5 mln, ca. tien jaar); bekendgemaakt nov. 2025; in opbouw</t>
        </is>
      </c>
      <c r="U28" s="20" t="inlineStr">
        <is>
          <t>Open modellen en data; real-time EMT op nationale schaal; kandidaat-kennisbron of deelsysteem voor de Nationale Faciliteit (relatie niet vastgesteld)</t>
        </is>
      </c>
      <c r="V28" s="20" t="inlineStr">
        <is>
          <t>https://www.cwi.nl/en/news/major-nwo-grant-to-build-worlds-largest-digital-twin-for-energy-system-studies/ ; https://ecda.eur.nl/2026/03/12/e16-5m-nwo-grant-to-research-digital-twins-for-energy-systems/</t>
        </is>
      </c>
      <c r="W28" s="20" t="n">
        <v>52</v>
      </c>
      <c r="X28" s="20" t="n">
        <v>4.37</v>
      </c>
      <c r="Y28" s="20" t="inlineStr">
        <is>
          <t>v11</t>
        </is>
      </c>
      <c r="Z28" s="23" t="inlineStr">
        <is>
          <t>nee</t>
        </is>
      </c>
      <c r="AA28" s="20" t="inlineStr">
        <is>
          <t>Twin-instantie</t>
        </is>
      </c>
      <c r="AB28" s="20" t="inlineStr">
        <is>
          <t>Tweeling</t>
        </is>
      </c>
      <c r="AC28" s="20" t="inlineStr">
        <is>
          <t>Lab</t>
        </is>
      </c>
      <c r="AD28" s="20" t="inlineStr">
        <is>
          <t>5 Sturende tweeling (lab)</t>
        </is>
      </c>
      <c r="AE28" s="20" t="inlineStr">
        <is>
          <t>Elektriciteit</t>
        </is>
      </c>
      <c r="AF28" s="20" t="inlineStr">
        <is>
          <t>Trekker/eigenaar</t>
        </is>
      </c>
      <c r="AG28" s="20" t="inlineStr">
        <is>
          <t>B primaire bron</t>
        </is>
      </c>
    </row>
    <row r="29" ht="95.5" customHeight="1" s="15">
      <c r="A29" s="20" t="inlineStr">
        <is>
          <t>DT-028</t>
        </is>
      </c>
      <c r="B29" s="20" t="inlineStr">
        <is>
          <t>T</t>
        </is>
      </c>
      <c r="C29" s="20" t="inlineStr">
        <is>
          <t>Twin-instantie (NL)</t>
        </is>
      </c>
      <c r="D29" s="20" t="inlineStr">
        <is>
          <t>ORTESE Emmen: digital twin/shadow lokaal energiesysteem (incl. PRIME)</t>
        </is>
      </c>
      <c r="E29" s="20" t="inlineStr">
        <is>
          <t>Energie</t>
        </is>
      </c>
      <c r="F29" s="20" t="inlineStr">
        <is>
          <t>NL</t>
        </is>
      </c>
      <c r="G29" s="20" t="inlineStr">
        <is>
          <t>NL</t>
        </is>
      </c>
      <c r="H29" s="20" t="inlineStr">
        <is>
          <t>Twin-instantie</t>
        </is>
      </c>
      <c r="I29" s="20" t="inlineStr">
        <is>
          <t>Scenario &amp; planning</t>
        </is>
      </c>
      <c r="J29" s="20" t="inlineStr">
        <is>
          <t>Gezamenlijke besluitvorming</t>
        </is>
      </c>
      <c r="K29" s="20" t="inlineStr">
        <is>
          <t>Gemeente / regio</t>
        </is>
      </c>
      <c r="L29" s="20" t="inlineStr">
        <is>
          <t>Schaduw</t>
        </is>
      </c>
      <c r="M29" s="20" t="inlineStr">
        <is>
          <t>Multi-commodity</t>
        </is>
      </c>
      <c r="N29" s="20" t="inlineStr">
        <is>
          <t>2 Pilot/PoC</t>
        </is>
      </c>
      <c r="O29" s="20" t="inlineStr">
        <is>
          <t>NEDRA; NPE; Systeemintegratie</t>
        </is>
      </c>
      <c r="P29" s="20" t="inlineStr">
        <is>
          <t>NEDRA;NPE;TSE-INNOV</t>
        </is>
      </c>
      <c r="Q29" s="20" t="inlineStr">
        <is>
          <t>BS-ETM;BS-ESDL</t>
        </is>
      </c>
      <c r="R29" s="20" t="inlineStr">
        <is>
          <t>Gem. Emmen, prov. Drenthe, Enexis, KGG; W+B, Gradyent, TNO, Quintel, CE Delft, ENTRANCE</t>
        </is>
      </c>
      <c r="S29" s="20" t="inlineStr">
        <is>
          <t>Trekker</t>
        </is>
      </c>
      <c r="T29" s="20" t="inlineStr">
        <is>
          <t>Lopend; datastrategie (DT-010) opgeleverd in 2026; uitgewerkt als praktijkcase van NEDRA (DT-003)</t>
        </is>
      </c>
      <c r="U29" s="20" t="inlineStr">
        <is>
          <t>Expliciet bedoeld als blauwdruk voor andere gemeenten; ambitie van meerdere multi-commodity energiehubs; uitgewerkt met het NEDRA-denkkader (klantreis, waardeketen in vijf stappen, bouwblokken, rollen)</t>
        </is>
      </c>
      <c r="V29" s="20" t="inlineStr">
        <is>
          <t>https://energy-innovation.nl/nl/kennisbank/datastrategie-maakt-datapuzzel-achter-digital-twin-voor-ortese-concreet/ ; https://www.witteveenbos.com/projects/emmen-and-ortese</t>
        </is>
      </c>
      <c r="W29" s="20" t="n">
        <v>52.78</v>
      </c>
      <c r="X29" s="20" t="n">
        <v>6.9</v>
      </c>
      <c r="Y29" s="20" t="inlineStr">
        <is>
          <t>v4 of eerder</t>
        </is>
      </c>
      <c r="Z29" s="23" t="inlineStr">
        <is>
          <t>nee</t>
        </is>
      </c>
      <c r="AA29" s="20" t="inlineStr">
        <is>
          <t>Twin-instantie</t>
        </is>
      </c>
      <c r="AB29" s="20" t="inlineStr">
        <is>
          <t>Schaduw</t>
        </is>
      </c>
      <c r="AC29" s="20" t="inlineStr">
        <is>
          <t>Gerealiseerd</t>
        </is>
      </c>
      <c r="AD29" s="20" t="inlineStr">
        <is>
          <t>4 Scenario-tweeling</t>
        </is>
      </c>
      <c r="AE29" s="20" t="inlineStr">
        <is>
          <t>Multi-commodity (dragers niet gespecificeerd)</t>
        </is>
      </c>
      <c r="AF29" s="20" t="inlineStr">
        <is>
          <t>Trekker/eigenaar</t>
        </is>
      </c>
      <c r="AG29" s="20" t="inlineStr">
        <is>
          <t>B primaire bron</t>
        </is>
      </c>
    </row>
    <row r="30" ht="41.75" customHeight="1" s="15">
      <c r="A30" s="20" t="inlineStr">
        <is>
          <t>DT-029</t>
        </is>
      </c>
      <c r="B30" s="20" t="inlineStr">
        <is>
          <t>T</t>
        </is>
      </c>
      <c r="C30" s="20" t="inlineStr">
        <is>
          <t>Twin-instantie (NL)</t>
        </is>
      </c>
      <c r="D30" s="20" t="inlineStr">
        <is>
          <t>Port of Rotterdam: Virtual Energy System (VES)</t>
        </is>
      </c>
      <c r="E30" s="20" t="inlineStr">
        <is>
          <t>Energie</t>
        </is>
      </c>
      <c r="F30" s="20" t="inlineStr">
        <is>
          <t>NL</t>
        </is>
      </c>
      <c r="G30" s="20" t="inlineStr">
        <is>
          <t>NL</t>
        </is>
      </c>
      <c r="H30" s="20" t="inlineStr">
        <is>
          <t>Twin-instantie</t>
        </is>
      </c>
      <c r="I30" s="20" t="inlineStr">
        <is>
          <t>Scenario &amp; planning</t>
        </is>
      </c>
      <c r="J30" s="20" t="inlineStr">
        <is>
          <t>Gezamenlijke besluitvorming</t>
        </is>
      </c>
      <c r="K30" s="20" t="inlineStr">
        <is>
          <t>Wijk / bedrijventerrein / hub</t>
        </is>
      </c>
      <c r="L30" s="20" t="inlineStr">
        <is>
          <t>Schaduw</t>
        </is>
      </c>
      <c r="M30" s="20" t="inlineStr">
        <is>
          <t>Elektriciteit, stoom, H2, warmte</t>
        </is>
      </c>
      <c r="N30" s="20" t="inlineStr">
        <is>
          <t>2 Pilot/PoC</t>
        </is>
      </c>
      <c r="O30" s="20" t="inlineStr">
        <is>
          <t>NPE (industrieclusters)</t>
        </is>
      </c>
      <c r="P30" s="20" t="inlineStr">
        <is>
          <t>NPE</t>
        </is>
      </c>
      <c r="Q30" s="20" t="n"/>
      <c r="R30" s="20" t="inlineStr">
        <is>
          <t>Havenbedrijf Rotterdam, Gradyent</t>
        </is>
      </c>
      <c r="S30" s="20" t="inlineStr">
        <is>
          <t>Trekker</t>
        </is>
      </c>
      <c r="T30" s="20" t="inlineStr">
        <is>
          <t>Proof of value Maasvlakte afgerond; besluit vervolg 2026</t>
        </is>
      </c>
      <c r="U30" s="20" t="inlineStr">
        <is>
          <t>Clustertwin; herbruikbaar voor andere industrieclusters</t>
        </is>
      </c>
      <c r="V30" s="20" t="inlineStr">
        <is>
          <t>https://publications.portofrotterdam.com/digital-report-2025/case-study-4</t>
        </is>
      </c>
      <c r="W30" s="20" t="n">
        <v>51.95</v>
      </c>
      <c r="X30" s="20" t="n">
        <v>4.03</v>
      </c>
      <c r="Y30" s="20" t="inlineStr">
        <is>
          <t>v4 of eerder</t>
        </is>
      </c>
      <c r="Z30" s="23" t="inlineStr">
        <is>
          <t>nee</t>
        </is>
      </c>
      <c r="AA30" s="20" t="inlineStr">
        <is>
          <t>Twin-instantie</t>
        </is>
      </c>
      <c r="AB30" s="20" t="inlineStr">
        <is>
          <t>Schaduw</t>
        </is>
      </c>
      <c r="AC30" s="20" t="inlineStr">
        <is>
          <t>Gerealiseerd</t>
        </is>
      </c>
      <c r="AD30" s="20" t="inlineStr">
        <is>
          <t>4 Scenario-tweeling</t>
        </is>
      </c>
      <c r="AE30" s="20" t="inlineStr">
        <is>
          <t>Elektriciteit; Waterstof; Warmte/koude (multi-commodity)</t>
        </is>
      </c>
      <c r="AF30" s="20" t="inlineStr">
        <is>
          <t>Trekker/eigenaar</t>
        </is>
      </c>
      <c r="AG30" s="20" t="inlineStr">
        <is>
          <t>B primaire bron</t>
        </is>
      </c>
    </row>
    <row r="31" ht="28.35" customHeight="1" s="15">
      <c r="A31" s="20" t="inlineStr">
        <is>
          <t>DT-030</t>
        </is>
      </c>
      <c r="B31" s="20" t="inlineStr">
        <is>
          <t>T</t>
        </is>
      </c>
      <c r="C31" s="20" t="inlineStr">
        <is>
          <t>Twin-instantie (NL)</t>
        </is>
      </c>
      <c r="D31" s="20" t="inlineStr">
        <is>
          <t>DigiPACT: haven-twin voor emissiereductie</t>
        </is>
      </c>
      <c r="E31" s="20" t="inlineStr">
        <is>
          <t>Energie</t>
        </is>
      </c>
      <c r="F31" s="20" t="inlineStr">
        <is>
          <t>NL</t>
        </is>
      </c>
      <c r="G31" s="20" t="inlineStr">
        <is>
          <t>NL</t>
        </is>
      </c>
      <c r="H31" s="20" t="inlineStr">
        <is>
          <t>Twin-instantie</t>
        </is>
      </c>
      <c r="I31" s="20" t="inlineStr">
        <is>
          <t>Scenario &amp; planning</t>
        </is>
      </c>
      <c r="J31" s="20" t="inlineStr">
        <is>
          <t>Onderzoek &amp; training</t>
        </is>
      </c>
      <c r="K31" s="20" t="inlineStr">
        <is>
          <t>Wijk / bedrijventerrein / hub</t>
        </is>
      </c>
      <c r="L31" s="20" t="inlineStr">
        <is>
          <t>Schaduw</t>
        </is>
      </c>
      <c r="M31" s="20" t="inlineStr">
        <is>
          <t>Emissies, energie</t>
        </is>
      </c>
      <c r="N31" s="20" t="inlineStr">
        <is>
          <t>2 Pilot/PoC</t>
        </is>
      </c>
      <c r="O31" s="20" t="inlineStr">
        <is>
          <t>-</t>
        </is>
      </c>
      <c r="P31" s="20" t="inlineStr">
        <is>
          <t>-</t>
        </is>
      </c>
      <c r="Q31" s="20" t="n"/>
      <c r="R31" s="20" t="inlineStr">
        <is>
          <t>Havenbedrijf Rotterdam; TU Delft, EUR, Erasmus MC (Convergence)</t>
        </is>
      </c>
      <c r="S31" s="20" t="inlineStr">
        <is>
          <t>Trekker</t>
        </is>
      </c>
      <c r="T31" s="20" t="inlineStr">
        <is>
          <t>Lopend</t>
        </is>
      </c>
      <c r="U31" s="20" t="inlineStr">
        <is>
          <t>Onderzoeksbasis haven</t>
        </is>
      </c>
      <c r="V31" s="20" t="inlineStr">
        <is>
          <t>https://convergence.nl/reducing-emissions-in-the-port-of-rotterdam-with-a-digital-twin/</t>
        </is>
      </c>
      <c r="W31" s="20" t="n">
        <v>51.92</v>
      </c>
      <c r="X31" s="20" t="n">
        <v>4.48</v>
      </c>
      <c r="Y31" s="20" t="inlineStr">
        <is>
          <t>v4 of eerder</t>
        </is>
      </c>
      <c r="Z31" s="23" t="inlineStr">
        <is>
          <t>nee</t>
        </is>
      </c>
      <c r="AA31" s="20" t="inlineStr">
        <is>
          <t>Twin-instantie</t>
        </is>
      </c>
      <c r="AB31" s="20" t="inlineStr">
        <is>
          <t>Schaduw</t>
        </is>
      </c>
      <c r="AC31" s="20" t="inlineStr">
        <is>
          <t>Gerealiseerd</t>
        </is>
      </c>
      <c r="AD31" s="20" t="inlineStr">
        <is>
          <t>4 Scenario-tweeling</t>
        </is>
      </c>
      <c r="AE31" s="20" t="inlineStr">
        <is>
          <t>n.v.t.</t>
        </is>
      </c>
      <c r="AF31" s="20" t="inlineStr">
        <is>
          <t>Trekker/eigenaar</t>
        </is>
      </c>
      <c r="AG31" s="20" t="inlineStr">
        <is>
          <t>C secundaire bron</t>
        </is>
      </c>
    </row>
    <row r="32" ht="135.8" customHeight="1" s="15">
      <c r="A32" s="20" t="inlineStr">
        <is>
          <t>DT-031</t>
        </is>
      </c>
      <c r="B32" s="20" t="inlineStr">
        <is>
          <t>T</t>
        </is>
      </c>
      <c r="C32" s="20" t="inlineStr">
        <is>
          <t>Twin-instantie (NL)</t>
        </is>
      </c>
      <c r="D32" s="20" t="inlineStr">
        <is>
          <t>Digital Twin Drechtsteden (HOLON/ZEnMo)</t>
        </is>
      </c>
      <c r="E32" s="20" t="inlineStr">
        <is>
          <t>Energie</t>
        </is>
      </c>
      <c r="F32" s="20" t="inlineStr">
        <is>
          <t>NL</t>
        </is>
      </c>
      <c r="G32" s="20" t="inlineStr">
        <is>
          <t>NL</t>
        </is>
      </c>
      <c r="H32" s="20" t="inlineStr">
        <is>
          <t>Twin-instantie</t>
        </is>
      </c>
      <c r="I32" s="20" t="inlineStr">
        <is>
          <t>Scenario &amp; planning</t>
        </is>
      </c>
      <c r="J32" s="20" t="inlineStr">
        <is>
          <t>Gezamenlijke besluitvorming</t>
        </is>
      </c>
      <c r="K32" s="20" t="inlineStr">
        <is>
          <t>Wijk / bedrijventerrein / hub</t>
        </is>
      </c>
      <c r="L32" s="20" t="inlineStr">
        <is>
          <t>Model/schaduw</t>
        </is>
      </c>
      <c r="M32" s="20" t="inlineStr">
        <is>
          <t>Elektriciteit, warmte</t>
        </is>
      </c>
      <c r="N32" s="20" t="inlineStr">
        <is>
          <t>4 Operationeel</t>
        </is>
      </c>
      <c r="O32" s="20" t="inlineStr">
        <is>
          <t>ADE 2.2; energiehubs; DMI</t>
        </is>
      </c>
      <c r="P32" s="20" t="inlineStr">
        <is>
          <t>ADE;TSE-INNOV;NLDT</t>
        </is>
      </c>
      <c r="Q32" s="20" t="inlineStr">
        <is>
          <t>BS-HOLON</t>
        </is>
      </c>
      <c r="R32" s="20" t="inlineStr">
        <is>
          <t>RES-regio Drechtsteden, Programmabureau Energieakkoord Drechtsteden, Werkgevers Drechtsteden, gemeenten, ondernemersverenigingen, energiecoöperaties, Zenmo</t>
        </is>
      </c>
      <c r="S32" s="20" t="inlineStr">
        <is>
          <t>Trekker</t>
        </is>
      </c>
      <c r="T32" s="20" t="inlineStr">
        <is>
          <t>Toegepast op Antoniapolder en Groote Lindt; in doorontwikkeling naar schaalniveau Drechtsteden; scenario's voor warmtetransitie, netbelasting en energiehubs (rapport datagovernance 2026, P062)</t>
        </is>
      </c>
      <c r="U32" s="20" t="inlineStr">
        <is>
          <t>Herhaalbare aanpak bedrijventerreinen; opschaling via DMI</t>
        </is>
      </c>
      <c r="V32" s="20" t="inlineStr">
        <is>
          <t>https://www.drechtstedenenergie.nl/digitaltwindrechtsteden ; https://www.smartdeltadrechtsteden.nl/nieuws/simulatietool-helpt-slim-om-te-gaan-met-stroom-bij-warmtetransitie?sresult=1265987673&amp;swords=digital+twin ; https://www.smartdeltadrechtsteden.nl/nieuws/simulatietool-digital-twin-helpt-ondernemers-drechtsteden-bij-aanpak-netcongestie</t>
        </is>
      </c>
      <c r="W32" s="20" t="n">
        <v>51.81</v>
      </c>
      <c r="X32" s="20" t="n">
        <v>4.67</v>
      </c>
      <c r="Y32" s="20" t="inlineStr">
        <is>
          <t>v4 of eerder</t>
        </is>
      </c>
      <c r="Z32" s="23" t="inlineStr">
        <is>
          <t>nee</t>
        </is>
      </c>
      <c r="AA32" s="20" t="inlineStr">
        <is>
          <t>Twin-instantie</t>
        </is>
      </c>
      <c r="AB32" s="20" t="inlineStr">
        <is>
          <t>Model of schaduw (onzeker)</t>
        </is>
      </c>
      <c r="AC32" s="20" t="inlineStr">
        <is>
          <t>Gerealiseerd</t>
        </is>
      </c>
      <c r="AD32" s="20" t="inlineStr">
        <is>
          <t>4 Scenario-tweeling</t>
        </is>
      </c>
      <c r="AE32" s="20" t="inlineStr">
        <is>
          <t>Elektriciteit; Warmte/koude (multi-commodity)</t>
        </is>
      </c>
      <c r="AF32" s="20" t="inlineStr">
        <is>
          <t>Trekker/eigenaar</t>
        </is>
      </c>
      <c r="AG32" s="20" t="inlineStr">
        <is>
          <t>B primaire bron</t>
        </is>
      </c>
    </row>
    <row r="33" ht="41.75" customHeight="1" s="15">
      <c r="A33" s="20" t="inlineStr">
        <is>
          <t>DT-032</t>
        </is>
      </c>
      <c r="B33" s="20" t="inlineStr">
        <is>
          <t>T</t>
        </is>
      </c>
      <c r="C33" s="20" t="inlineStr">
        <is>
          <t>Twin-instantie (NL)</t>
        </is>
      </c>
      <c r="D33" s="20" t="inlineStr">
        <is>
          <t>Amersfoort De Wieken-Vinkenhoef energiehub-twin</t>
        </is>
      </c>
      <c r="E33" s="20" t="inlineStr">
        <is>
          <t>Energie</t>
        </is>
      </c>
      <c r="F33" s="20" t="inlineStr">
        <is>
          <t>NL</t>
        </is>
      </c>
      <c r="G33" s="20" t="inlineStr">
        <is>
          <t>NL</t>
        </is>
      </c>
      <c r="H33" s="20" t="inlineStr">
        <is>
          <t>Twin-instantie</t>
        </is>
      </c>
      <c r="I33" s="20" t="inlineStr">
        <is>
          <t>Scenario &amp; planning</t>
        </is>
      </c>
      <c r="J33" s="20" t="inlineStr">
        <is>
          <t>Gezamenlijke besluitvorming</t>
        </is>
      </c>
      <c r="K33" s="20" t="inlineStr">
        <is>
          <t>Wijk / bedrijventerrein / hub</t>
        </is>
      </c>
      <c r="L33" s="20" t="inlineStr">
        <is>
          <t>Model</t>
        </is>
      </c>
      <c r="M33" s="20" t="inlineStr">
        <is>
          <t>Elektriciteit</t>
        </is>
      </c>
      <c r="N33" s="20" t="inlineStr">
        <is>
          <t>2 Pilot/PoC</t>
        </is>
      </c>
      <c r="O33" s="20" t="inlineStr">
        <is>
          <t>Energiehubs</t>
        </is>
      </c>
      <c r="P33" s="20" t="inlineStr">
        <is>
          <t>TSE-INNOV</t>
        </is>
      </c>
      <c r="Q33" s="20" t="inlineStr">
        <is>
          <t>BS-HOLON</t>
        </is>
      </c>
      <c r="R33" s="20" t="inlineStr">
        <is>
          <t>Gem. Amersfoort, ZEnMo e.a.</t>
        </is>
      </c>
      <c r="S33" s="20" t="inlineStr">
        <is>
          <t>Trekker</t>
        </is>
      </c>
      <c r="T33" s="20" t="inlineStr">
        <is>
          <t>Sinds 2023</t>
        </is>
      </c>
      <c r="U33" s="20" t="inlineStr">
        <is>
          <t>Zelfde modelbasis als Drechtsteden</t>
        </is>
      </c>
      <c r="V33" s="20" t="inlineStr">
        <is>
          <t>https://stadszaken.nl/artikel/8883/een-digital-twin-van-het-energienet-in-delft-is-het-gelukt</t>
        </is>
      </c>
      <c r="W33" s="20" t="n">
        <v>52.16</v>
      </c>
      <c r="X33" s="20" t="n">
        <v>5.39</v>
      </c>
      <c r="Y33" s="20" t="inlineStr">
        <is>
          <t>v4 of eerder</t>
        </is>
      </c>
      <c r="Z33" s="23" t="inlineStr">
        <is>
          <t>nee</t>
        </is>
      </c>
      <c r="AA33" s="20" t="inlineStr">
        <is>
          <t>Twin-instantie</t>
        </is>
      </c>
      <c r="AB33" s="20" t="inlineStr">
        <is>
          <t>Model</t>
        </is>
      </c>
      <c r="AC33" s="20" t="inlineStr">
        <is>
          <t>Gerealiseerd</t>
        </is>
      </c>
      <c r="AD33" s="20" t="inlineStr">
        <is>
          <t>1 Digitaal model</t>
        </is>
      </c>
      <c r="AE33" s="20" t="inlineStr">
        <is>
          <t>Elektriciteit</t>
        </is>
      </c>
      <c r="AF33" s="20" t="inlineStr">
        <is>
          <t>Trekker/eigenaar</t>
        </is>
      </c>
      <c r="AG33" s="20" t="inlineStr">
        <is>
          <t>C secundaire bron</t>
        </is>
      </c>
    </row>
    <row r="34" ht="55.2" customHeight="1" s="15">
      <c r="A34" s="20" t="inlineStr">
        <is>
          <t>DT-033</t>
        </is>
      </c>
      <c r="B34" s="20" t="inlineStr">
        <is>
          <t>T</t>
        </is>
      </c>
      <c r="C34" s="20" t="inlineStr">
        <is>
          <t>Twin-instantie (NL)</t>
        </is>
      </c>
      <c r="D34" s="20" t="inlineStr">
        <is>
          <t>Energy Hub Optimizer: ECAH Amsterdamse haven</t>
        </is>
      </c>
      <c r="E34" s="20" t="inlineStr">
        <is>
          <t>Energie</t>
        </is>
      </c>
      <c r="F34" s="20" t="inlineStr">
        <is>
          <t>NL</t>
        </is>
      </c>
      <c r="G34" s="20" t="inlineStr">
        <is>
          <t>NL</t>
        </is>
      </c>
      <c r="H34" s="20" t="inlineStr">
        <is>
          <t>Twin-instantie</t>
        </is>
      </c>
      <c r="I34" s="20" t="inlineStr">
        <is>
          <t>Scenario &amp; planning</t>
        </is>
      </c>
      <c r="J34" s="20" t="inlineStr">
        <is>
          <t>Gezamenlijke besluitvorming</t>
        </is>
      </c>
      <c r="K34" s="20" t="inlineStr">
        <is>
          <t>Wijk / bedrijventerrein / hub</t>
        </is>
      </c>
      <c r="L34" s="20" t="inlineStr">
        <is>
          <t>Model</t>
        </is>
      </c>
      <c r="M34" s="20" t="inlineStr">
        <is>
          <t>Elektriciteit, warmte</t>
        </is>
      </c>
      <c r="N34" s="20" t="inlineStr">
        <is>
          <t>2 Pilot/PoC</t>
        </is>
      </c>
      <c r="O34" s="20" t="inlineStr">
        <is>
          <t>Energiehubs; TKI E&amp;I</t>
        </is>
      </c>
      <c r="P34" s="20" t="inlineStr">
        <is>
          <t>TSE-INNOV</t>
        </is>
      </c>
      <c r="Q34" s="20" t="n"/>
      <c r="R34" s="20" t="inlineStr">
        <is>
          <t>Quo Mare i.o.v. RVO en TKI Energie en Industrie; 12 ECAH-bedrijven</t>
        </is>
      </c>
      <c r="S34" s="20" t="inlineStr">
        <is>
          <t>Trekker</t>
        </is>
      </c>
      <c r="T34" s="20" t="inlineStr">
        <is>
          <t>Getest (juli 2025)</t>
        </is>
      </c>
      <c r="U34" s="20" t="inlineStr">
        <is>
          <t>Scenario-optimalisatie voor collectieven</t>
        </is>
      </c>
      <c r="V34" s="20" t="inlineStr">
        <is>
          <t>https://energy-innovation.nl/nl/nieuws/energy-hub-optimizer-biedt-bedrijven-scenarios-voor-lagere-energiekosten-verduurzaming-en-autonomie/</t>
        </is>
      </c>
      <c r="W34" s="20" t="n">
        <v>52.41</v>
      </c>
      <c r="X34" s="20" t="n">
        <v>4.83</v>
      </c>
      <c r="Y34" s="20" t="inlineStr">
        <is>
          <t>v4 of eerder</t>
        </is>
      </c>
      <c r="Z34" s="23" t="inlineStr">
        <is>
          <t>nee</t>
        </is>
      </c>
      <c r="AA34" s="20" t="inlineStr">
        <is>
          <t>Twin-instantie</t>
        </is>
      </c>
      <c r="AB34" s="20" t="inlineStr">
        <is>
          <t>Model</t>
        </is>
      </c>
      <c r="AC34" s="20" t="inlineStr">
        <is>
          <t>Gerealiseerd</t>
        </is>
      </c>
      <c r="AD34" s="20" t="inlineStr">
        <is>
          <t>1 Digitaal model</t>
        </is>
      </c>
      <c r="AE34" s="20" t="inlineStr">
        <is>
          <t>Elektriciteit; Warmte/koude (multi-commodity)</t>
        </is>
      </c>
      <c r="AF34" s="20" t="inlineStr">
        <is>
          <t>Trekker/eigenaar</t>
        </is>
      </c>
      <c r="AG34" s="20" t="inlineStr">
        <is>
          <t>B primaire bron</t>
        </is>
      </c>
    </row>
    <row r="35" ht="41.75" customHeight="1" s="15">
      <c r="A35" s="20" t="inlineStr">
        <is>
          <t>DT-034</t>
        </is>
      </c>
      <c r="B35" s="20" t="inlineStr">
        <is>
          <t>T</t>
        </is>
      </c>
      <c r="C35" s="20" t="inlineStr">
        <is>
          <t>Twin-instantie (NL)</t>
        </is>
      </c>
      <c r="D35" s="20" t="inlineStr">
        <is>
          <t>TU Delft campusnet-twin (Argaleo)</t>
        </is>
      </c>
      <c r="E35" s="20" t="inlineStr">
        <is>
          <t>Energie</t>
        </is>
      </c>
      <c r="F35" s="20" t="inlineStr">
        <is>
          <t>NL</t>
        </is>
      </c>
      <c r="G35" s="20" t="inlineStr">
        <is>
          <t>NL</t>
        </is>
      </c>
      <c r="H35" s="20" t="inlineStr">
        <is>
          <t>Twin-instantie</t>
        </is>
      </c>
      <c r="I35" s="20" t="inlineStr">
        <is>
          <t>Inzicht &amp; monitoring</t>
        </is>
      </c>
      <c r="J35" s="20" t="inlineStr">
        <is>
          <t>Scenario &amp; planning</t>
        </is>
      </c>
      <c r="K35" s="20" t="inlineStr">
        <is>
          <t>Wijk / bedrijventerrein / hub</t>
        </is>
      </c>
      <c r="L35" s="20" t="inlineStr">
        <is>
          <t>Schaduw/tweeling</t>
        </is>
      </c>
      <c r="M35" s="20" t="inlineStr">
        <is>
          <t>Elektriciteit</t>
        </is>
      </c>
      <c r="N35" s="20" t="inlineStr">
        <is>
          <t>3 Demonstratie/lab</t>
        </is>
      </c>
      <c r="O35" s="20" t="inlineStr">
        <is>
          <t>ADE 1.1.2</t>
        </is>
      </c>
      <c r="P35" s="20" t="inlineStr">
        <is>
          <t>ADE</t>
        </is>
      </c>
      <c r="Q35" s="20" t="n"/>
      <c r="R35" s="20" t="inlineStr">
        <is>
          <t>TU Delft, Argaleo; Stedin betrokken</t>
        </is>
      </c>
      <c r="S35" s="20" t="inlineStr">
        <is>
          <t>Trekker</t>
        </is>
      </c>
      <c r="T35" s="20" t="inlineStr">
        <is>
          <t>Operationeel sinds maart 2026; ca. 200 sensoren, 160 ha</t>
        </is>
      </c>
      <c r="U35" s="20" t="inlineStr">
        <is>
          <t>Lessen asset-identificatie en sensorsemantiek</t>
        </is>
      </c>
      <c r="V35" s="20" t="inlineStr">
        <is>
          <t>https://www.tudelft.nl/en/2026/eemcs/tu-delft-and-argaleo-launch-complete-digital-twin-of-tu-delfts-electricity-network</t>
        </is>
      </c>
      <c r="W35" s="20" t="n">
        <v>52</v>
      </c>
      <c r="X35" s="20" t="n">
        <v>4.37</v>
      </c>
      <c r="Y35" s="20" t="inlineStr">
        <is>
          <t>v4 of eerder</t>
        </is>
      </c>
      <c r="Z35" s="23" t="inlineStr">
        <is>
          <t>nee</t>
        </is>
      </c>
      <c r="AA35" s="20" t="inlineStr">
        <is>
          <t>Twin-instantie</t>
        </is>
      </c>
      <c r="AB35" s="20" t="inlineStr">
        <is>
          <t>Schaduw of tweeling (onzeker)</t>
        </is>
      </c>
      <c r="AC35" s="20" t="inlineStr">
        <is>
          <t>Gerealiseerd</t>
        </is>
      </c>
      <c r="AD35" s="20" t="inlineStr">
        <is>
          <t>2 Digitale schaduw</t>
        </is>
      </c>
      <c r="AE35" s="20" t="inlineStr">
        <is>
          <t>Elektriciteit</t>
        </is>
      </c>
      <c r="AF35" s="20" t="inlineStr">
        <is>
          <t>Trekker/eigenaar</t>
        </is>
      </c>
      <c r="AG35" s="20" t="inlineStr">
        <is>
          <t>B primaire bron</t>
        </is>
      </c>
    </row>
    <row r="36" ht="55.2" customHeight="1" s="15">
      <c r="A36" s="20" t="inlineStr">
        <is>
          <t>DT-035</t>
        </is>
      </c>
      <c r="B36" s="20" t="inlineStr">
        <is>
          <t>T</t>
        </is>
      </c>
      <c r="C36" s="20" t="inlineStr">
        <is>
          <t>Twin-instantie (NL)</t>
        </is>
      </c>
      <c r="D36" s="20" t="inlineStr">
        <is>
          <t>Liander: Gridscale X LV Insights</t>
        </is>
      </c>
      <c r="E36" s="20" t="inlineStr">
        <is>
          <t>Energie</t>
        </is>
      </c>
      <c r="F36" s="20" t="inlineStr">
        <is>
          <t>NL</t>
        </is>
      </c>
      <c r="G36" s="20" t="inlineStr">
        <is>
          <t>NL</t>
        </is>
      </c>
      <c r="H36" s="20" t="inlineStr">
        <is>
          <t>Twin-instantie</t>
        </is>
      </c>
      <c r="I36" s="20" t="inlineStr">
        <is>
          <t>Inzicht &amp; monitoring</t>
        </is>
      </c>
      <c r="J36" s="20" t="inlineStr">
        <is>
          <t>Sturing &amp; optimalisatie</t>
        </is>
      </c>
      <c r="K36" s="20" t="inlineStr">
        <is>
          <t>Net / nationaal systeem</t>
        </is>
      </c>
      <c r="L36" s="20" t="inlineStr">
        <is>
          <t>Schaduw</t>
        </is>
      </c>
      <c r="M36" s="20" t="inlineStr">
        <is>
          <t>Elektriciteit (LS)</t>
        </is>
      </c>
      <c r="N36" s="20" t="inlineStr">
        <is>
          <t>3 Demonstratie/lab</t>
        </is>
      </c>
      <c r="O36" s="20" t="inlineStr">
        <is>
          <t>ADE 1.1.1-1.1.2</t>
        </is>
      </c>
      <c r="P36" s="20" t="inlineStr">
        <is>
          <t>ADE</t>
        </is>
      </c>
      <c r="Q36" s="20" t="n"/>
      <c r="R36" s="20" t="inlineStr">
        <is>
          <t>Alliander/Liander, Siemens</t>
        </is>
      </c>
      <c r="S36" s="20" t="inlineStr">
        <is>
          <t>Trekker</t>
        </is>
      </c>
      <c r="T36" s="20" t="inlineStr">
        <is>
          <t>Contract okt. 2024</t>
        </is>
      </c>
      <c r="U36" s="20" t="inlineStr">
        <is>
          <t>LS-net single source of truth; 10-30% extra netbenutting verwacht</t>
        </is>
      </c>
      <c r="V36" s="20" t="inlineStr">
        <is>
          <t>https://press.siemens.com/global/en/pressrelease/siemens-partners-alliander-accelerate-flexible-grid-management-netherlands</t>
        </is>
      </c>
      <c r="W36" s="20" t="n">
        <v>51.98</v>
      </c>
      <c r="X36" s="20" t="n">
        <v>5.91</v>
      </c>
      <c r="Y36" s="20" t="inlineStr">
        <is>
          <t>v4 of eerder</t>
        </is>
      </c>
      <c r="Z36" s="23" t="inlineStr">
        <is>
          <t>nee</t>
        </is>
      </c>
      <c r="AA36" s="20" t="inlineStr">
        <is>
          <t>Twin-instantie</t>
        </is>
      </c>
      <c r="AB36" s="20" t="inlineStr">
        <is>
          <t>Schaduw</t>
        </is>
      </c>
      <c r="AC36" s="20" t="inlineStr">
        <is>
          <t>Gerealiseerd</t>
        </is>
      </c>
      <c r="AD36" s="20" t="inlineStr">
        <is>
          <t>2 Digitale schaduw</t>
        </is>
      </c>
      <c r="AE36" s="20" t="inlineStr">
        <is>
          <t>Elektriciteit</t>
        </is>
      </c>
      <c r="AF36" s="20" t="inlineStr">
        <is>
          <t>Trekker/eigenaar</t>
        </is>
      </c>
      <c r="AG36" s="20" t="inlineStr">
        <is>
          <t>B primaire bron</t>
        </is>
      </c>
    </row>
    <row r="37" ht="28.35" customHeight="1" s="15">
      <c r="A37" s="20" t="inlineStr">
        <is>
          <t>DT-036</t>
        </is>
      </c>
      <c r="B37" s="20" t="inlineStr">
        <is>
          <t>T</t>
        </is>
      </c>
      <c r="C37" s="20" t="inlineStr">
        <is>
          <t>Twin-instantie (NL)</t>
        </is>
      </c>
      <c r="D37" s="20" t="inlineStr">
        <is>
          <t>Liander: digitale assetinventaris (Grid Vision)</t>
        </is>
      </c>
      <c r="E37" s="20" t="inlineStr">
        <is>
          <t>Energie</t>
        </is>
      </c>
      <c r="F37" s="20" t="inlineStr">
        <is>
          <t>NL</t>
        </is>
      </c>
      <c r="G37" s="20" t="inlineStr">
        <is>
          <t>NL</t>
        </is>
      </c>
      <c r="H37" s="20" t="inlineStr">
        <is>
          <t>Bouwsteen</t>
        </is>
      </c>
      <c r="I37" s="20" t="inlineStr">
        <is>
          <t>Inzicht &amp; monitoring</t>
        </is>
      </c>
      <c r="J37" s="20" t="n"/>
      <c r="K37" s="20" t="inlineStr">
        <is>
          <t>Asset / installatie</t>
        </is>
      </c>
      <c r="L37" s="20" t="inlineStr">
        <is>
          <t>Model</t>
        </is>
      </c>
      <c r="M37" s="20" t="inlineStr">
        <is>
          <t>Elektriciteit</t>
        </is>
      </c>
      <c r="N37" s="20" t="inlineStr">
        <is>
          <t>4 Operationeel</t>
        </is>
      </c>
      <c r="O37" s="20" t="inlineStr">
        <is>
          <t>ADE 1.2.3</t>
        </is>
      </c>
      <c r="P37" s="20" t="inlineStr">
        <is>
          <t>ADE</t>
        </is>
      </c>
      <c r="Q37" s="20" t="n"/>
      <c r="R37" s="20" t="inlineStr">
        <is>
          <t>Alliander, eSmart Systems</t>
        </is>
      </c>
      <c r="S37" s="20" t="inlineStr">
        <is>
          <t>Trekker</t>
        </is>
      </c>
      <c r="T37" s="20" t="inlineStr">
        <is>
          <t>Lopend sinds 2024; ca. 60.000 stations en kasten</t>
        </is>
      </c>
      <c r="U37" s="20" t="inlineStr">
        <is>
          <t>Asset-basis voor twins</t>
        </is>
      </c>
      <c r="V37" s="20" t="inlineStr">
        <is>
          <t>https://www.esmartsystems.com/case-studies/alliander/</t>
        </is>
      </c>
      <c r="W37" s="20" t="n">
        <v>51.98</v>
      </c>
      <c r="X37" s="20" t="n">
        <v>5.91</v>
      </c>
      <c r="Y37" s="20" t="inlineStr">
        <is>
          <t>v4 of eerder</t>
        </is>
      </c>
      <c r="Z37" s="23" t="inlineStr">
        <is>
          <t>nee</t>
        </is>
      </c>
      <c r="AA37" s="20" t="inlineStr">
        <is>
          <t>Stelsel (bouwsteen)</t>
        </is>
      </c>
      <c r="AB37" s="20" t="inlineStr">
        <is>
          <t>Model</t>
        </is>
      </c>
      <c r="AC37" s="20" t="inlineStr">
        <is>
          <t>Gerealiseerd</t>
        </is>
      </c>
      <c r="AD37" s="20" t="inlineStr">
        <is>
          <t>1 Digitaal model</t>
        </is>
      </c>
      <c r="AE37" s="20" t="inlineStr">
        <is>
          <t>Elektriciteit</t>
        </is>
      </c>
      <c r="AF37" s="20" t="inlineStr">
        <is>
          <t>Trekker/eigenaar</t>
        </is>
      </c>
      <c r="AG37" s="20" t="inlineStr">
        <is>
          <t>B primaire bron</t>
        </is>
      </c>
    </row>
    <row r="38" ht="41.75" customHeight="1" s="15">
      <c r="A38" s="20" t="inlineStr">
        <is>
          <t>DT-037</t>
        </is>
      </c>
      <c r="B38" s="20" t="inlineStr">
        <is>
          <t>T</t>
        </is>
      </c>
      <c r="C38" s="20" t="inlineStr">
        <is>
          <t>Twin-instantie (NL)</t>
        </is>
      </c>
      <c r="D38" s="20" t="inlineStr">
        <is>
          <t>Stedin: netmodellen en scenario's</t>
        </is>
      </c>
      <c r="E38" s="20" t="inlineStr">
        <is>
          <t>Energie</t>
        </is>
      </c>
      <c r="F38" s="20" t="inlineStr">
        <is>
          <t>NL</t>
        </is>
      </c>
      <c r="G38" s="20" t="inlineStr">
        <is>
          <t>NL</t>
        </is>
      </c>
      <c r="H38" s="20" t="inlineStr">
        <is>
          <t>Twin-instantie</t>
        </is>
      </c>
      <c r="I38" s="20" t="inlineStr">
        <is>
          <t>Scenario &amp; planning</t>
        </is>
      </c>
      <c r="J38" s="20" t="n"/>
      <c r="K38" s="20" t="inlineStr">
        <is>
          <t>Net / nationaal systeem</t>
        </is>
      </c>
      <c r="L38" s="20" t="inlineStr">
        <is>
          <t>Model</t>
        </is>
      </c>
      <c r="M38" s="20" t="inlineStr">
        <is>
          <t>Elektriciteit</t>
        </is>
      </c>
      <c r="N38" s="20" t="inlineStr">
        <is>
          <t>2 Pilot/PoC</t>
        </is>
      </c>
      <c r="O38" s="20" t="inlineStr">
        <is>
          <t>ADE 5.1</t>
        </is>
      </c>
      <c r="P38" s="20" t="inlineStr">
        <is>
          <t>ADE</t>
        </is>
      </c>
      <c r="Q38" s="20" t="n"/>
      <c r="R38" s="20" t="inlineStr">
        <is>
          <t>Stedin</t>
        </is>
      </c>
      <c r="S38" s="20" t="inlineStr">
        <is>
          <t>Trekker</t>
        </is>
      </c>
      <c r="T38" s="20" t="inlineStr">
        <is>
          <t>In ontwikkeling; modellen nog niet gebundeld</t>
        </is>
      </c>
      <c r="U38" s="20" t="inlineStr">
        <is>
          <t>-</t>
        </is>
      </c>
      <c r="V38" s="20" t="inlineStr">
        <is>
          <t>https://stadszaken.nl/artikel/8883/een-digital-twin-van-het-energienet-in-delft-is-het-gelukt</t>
        </is>
      </c>
      <c r="W38" s="20" t="n">
        <v>51.92</v>
      </c>
      <c r="X38" s="20" t="n">
        <v>4.48</v>
      </c>
      <c r="Y38" s="20" t="inlineStr">
        <is>
          <t>v4 of eerder</t>
        </is>
      </c>
      <c r="Z38" s="23" t="inlineStr">
        <is>
          <t>nee</t>
        </is>
      </c>
      <c r="AA38" s="20" t="inlineStr">
        <is>
          <t>Twin-instantie</t>
        </is>
      </c>
      <c r="AB38" s="20" t="inlineStr">
        <is>
          <t>Model</t>
        </is>
      </c>
      <c r="AC38" s="20" t="inlineStr">
        <is>
          <t>Gerealiseerd</t>
        </is>
      </c>
      <c r="AD38" s="20" t="inlineStr">
        <is>
          <t>1 Digitaal model</t>
        </is>
      </c>
      <c r="AE38" s="20" t="inlineStr">
        <is>
          <t>Elektriciteit</t>
        </is>
      </c>
      <c r="AF38" s="20" t="inlineStr">
        <is>
          <t>Trekker/eigenaar</t>
        </is>
      </c>
      <c r="AG38" s="20" t="inlineStr">
        <is>
          <t>C secundaire bron</t>
        </is>
      </c>
    </row>
    <row r="39" ht="28.35" customHeight="1" s="15">
      <c r="A39" s="20" t="inlineStr">
        <is>
          <t>DT-038</t>
        </is>
      </c>
      <c r="B39" s="20" t="inlineStr">
        <is>
          <t>T</t>
        </is>
      </c>
      <c r="C39" s="20" t="inlineStr">
        <is>
          <t>Twin-instantie (NL)</t>
        </is>
      </c>
      <c r="D39" s="20" t="inlineStr">
        <is>
          <t>TenneT: netplanning met Destination Earth-data</t>
        </is>
      </c>
      <c r="E39" s="20" t="inlineStr">
        <is>
          <t>Energie</t>
        </is>
      </c>
      <c r="F39" s="20" t="inlineStr">
        <is>
          <t>NL</t>
        </is>
      </c>
      <c r="G39" s="20" t="inlineStr">
        <is>
          <t>NL</t>
        </is>
      </c>
      <c r="H39" s="20" t="inlineStr">
        <is>
          <t>Twin-instantie</t>
        </is>
      </c>
      <c r="I39" s="20" t="inlineStr">
        <is>
          <t>Scenario &amp; planning</t>
        </is>
      </c>
      <c r="J39" s="20" t="inlineStr">
        <is>
          <t>Voorspellen</t>
        </is>
      </c>
      <c r="K39" s="20" t="inlineStr">
        <is>
          <t>Net / nationaal systeem</t>
        </is>
      </c>
      <c r="L39" s="20" t="inlineStr">
        <is>
          <t>Model</t>
        </is>
      </c>
      <c r="M39" s="20" t="inlineStr">
        <is>
          <t>Elektriciteit</t>
        </is>
      </c>
      <c r="N39" s="20" t="inlineStr">
        <is>
          <t>3 Demonstratie/lab</t>
        </is>
      </c>
      <c r="O39" s="20" t="inlineStr">
        <is>
          <t>EU DestinE; NPE</t>
        </is>
      </c>
      <c r="P39" s="20" t="inlineStr">
        <is>
          <t>DESTINE;NPE</t>
        </is>
      </c>
      <c r="Q39" s="20" t="n"/>
      <c r="R39" s="20" t="inlineStr">
        <is>
          <t>TenneT, ECMWF</t>
        </is>
      </c>
      <c r="S39" s="20" t="inlineStr">
        <is>
          <t>Trekker</t>
        </is>
      </c>
      <c r="T39" s="20" t="inlineStr">
        <is>
          <t>Lopend</t>
        </is>
      </c>
      <c r="U39" s="20" t="inlineStr">
        <is>
          <t>Koppeling klimaat- en energietwin</t>
        </is>
      </c>
      <c r="V39" s="20" t="inlineStr">
        <is>
          <t>https://stories.ecmwf.int/digital-twins-for-grid-operators/index.html</t>
        </is>
      </c>
      <c r="W39" s="20" t="n">
        <v>51.98</v>
      </c>
      <c r="X39" s="20" t="n">
        <v>5.91</v>
      </c>
      <c r="Y39" s="20" t="inlineStr">
        <is>
          <t>v4 of eerder</t>
        </is>
      </c>
      <c r="Z39" s="23" t="inlineStr">
        <is>
          <t>nee</t>
        </is>
      </c>
      <c r="AA39" s="20" t="inlineStr">
        <is>
          <t>Twin-instantie</t>
        </is>
      </c>
      <c r="AB39" s="20" t="inlineStr">
        <is>
          <t>Model</t>
        </is>
      </c>
      <c r="AC39" s="20" t="inlineStr">
        <is>
          <t>Gerealiseerd</t>
        </is>
      </c>
      <c r="AD39" s="20" t="inlineStr">
        <is>
          <t>1 Digitaal model</t>
        </is>
      </c>
      <c r="AE39" s="20" t="inlineStr">
        <is>
          <t>Elektriciteit</t>
        </is>
      </c>
      <c r="AF39" s="20" t="inlineStr">
        <is>
          <t>Trekker/eigenaar</t>
        </is>
      </c>
      <c r="AG39" s="20" t="inlineStr">
        <is>
          <t>B primaire bron</t>
        </is>
      </c>
    </row>
    <row r="40" ht="55.2" customHeight="1" s="15">
      <c r="A40" s="20" t="inlineStr">
        <is>
          <t>DT-039</t>
        </is>
      </c>
      <c r="B40" s="20" t="inlineStr">
        <is>
          <t>T</t>
        </is>
      </c>
      <c r="C40" s="20" t="inlineStr">
        <is>
          <t>Twin-instantie (NL)</t>
        </is>
      </c>
      <c r="D40" s="20" t="inlineStr">
        <is>
          <t>Gasunie: AGMS netbesturing</t>
        </is>
      </c>
      <c r="E40" s="20" t="inlineStr">
        <is>
          <t>Energie</t>
        </is>
      </c>
      <c r="F40" s="20" t="inlineStr">
        <is>
          <t>NL</t>
        </is>
      </c>
      <c r="G40" s="20" t="inlineStr">
        <is>
          <t>NL</t>
        </is>
      </c>
      <c r="H40" s="20" t="inlineStr">
        <is>
          <t>Twin-instantie</t>
        </is>
      </c>
      <c r="I40" s="20" t="inlineStr">
        <is>
          <t>Voorspellen</t>
        </is>
      </c>
      <c r="J40" s="20" t="inlineStr">
        <is>
          <t>Sturing &amp; optimalisatie, Onderzoek &amp; training</t>
        </is>
      </c>
      <c r="K40" s="20" t="inlineStr">
        <is>
          <t>Net / nationaal systeem</t>
        </is>
      </c>
      <c r="L40" s="20" t="inlineStr">
        <is>
          <t>Tweeling</t>
        </is>
      </c>
      <c r="M40" s="20" t="inlineStr">
        <is>
          <t>Gas, H2, warmte, CO2</t>
        </is>
      </c>
      <c r="N40" s="20" t="inlineStr">
        <is>
          <t>4 Operationeel</t>
        </is>
      </c>
      <c r="O40" s="20" t="inlineStr">
        <is>
          <t>-</t>
        </is>
      </c>
      <c r="P40" s="20" t="inlineStr">
        <is>
          <t>-</t>
        </is>
      </c>
      <c r="Q40" s="20" t="n"/>
      <c r="R40" s="20" t="inlineStr">
        <is>
          <t>Gasunie, Schneider Electric</t>
        </is>
      </c>
      <c r="S40" s="20" t="inlineStr">
        <is>
          <t>Trekker</t>
        </is>
      </c>
      <c r="T40" s="20" t="inlineStr">
        <is>
          <t>Operationeel sinds 2018, uitgebreid</t>
        </is>
      </c>
      <c r="U40" s="20" t="inlineStr">
        <is>
          <t>Volwassen operationele twin buiten elektriciteit</t>
        </is>
      </c>
      <c r="V40" s="20" t="inlineStr">
        <is>
          <t>https://www.se.com/nl/nl/about-us/newsroom/news/press-releases/gasunie-digitaliseert-energienetwerk-met-agms-680f784f9e46cc8bf50e9c10/</t>
        </is>
      </c>
      <c r="W40" s="20" t="n">
        <v>53.22</v>
      </c>
      <c r="X40" s="20" t="n">
        <v>6.57</v>
      </c>
      <c r="Y40" s="20" t="inlineStr">
        <is>
          <t>v4 of eerder</t>
        </is>
      </c>
      <c r="Z40" s="23" t="inlineStr">
        <is>
          <t>nee</t>
        </is>
      </c>
      <c r="AA40" s="20" t="inlineStr">
        <is>
          <t>Twin-instantie</t>
        </is>
      </c>
      <c r="AB40" s="20" t="inlineStr">
        <is>
          <t>Tweeling</t>
        </is>
      </c>
      <c r="AC40" s="20" t="inlineStr">
        <is>
          <t>Gerealiseerd</t>
        </is>
      </c>
      <c r="AD40" s="20" t="inlineStr">
        <is>
          <t>5 Sturende tweeling</t>
        </is>
      </c>
      <c r="AE40" s="20" t="inlineStr">
        <is>
          <t>Gas; Waterstof; Warmte/koude (multi-commodity)</t>
        </is>
      </c>
      <c r="AF40" s="20" t="inlineStr">
        <is>
          <t>Trekker/eigenaar</t>
        </is>
      </c>
      <c r="AG40" s="20" t="inlineStr">
        <is>
          <t>B primaire bron</t>
        </is>
      </c>
    </row>
    <row r="41" ht="28.35" customHeight="1" s="15">
      <c r="A41" s="20" t="inlineStr">
        <is>
          <t>DT-040</t>
        </is>
      </c>
      <c r="B41" s="20" t="inlineStr">
        <is>
          <t>T</t>
        </is>
      </c>
      <c r="C41" s="20" t="inlineStr">
        <is>
          <t>Twin-instantie (NL)</t>
        </is>
      </c>
      <c r="D41" s="20" t="inlineStr">
        <is>
          <t>Enexis x gemeente Deventer: tracéontwerp</t>
        </is>
      </c>
      <c r="E41" s="20" t="inlineStr">
        <is>
          <t>Energie + GO</t>
        </is>
      </c>
      <c r="F41" s="20" t="inlineStr">
        <is>
          <t>NL</t>
        </is>
      </c>
      <c r="G41" s="20" t="inlineStr">
        <is>
          <t>NL</t>
        </is>
      </c>
      <c r="H41" s="20" t="inlineStr">
        <is>
          <t>Twin-instantie</t>
        </is>
      </c>
      <c r="I41" s="20" t="inlineStr">
        <is>
          <t>Ontwerp &amp; engineering</t>
        </is>
      </c>
      <c r="J41" s="20" t="inlineStr">
        <is>
          <t>Gezamenlijke besluitvorming</t>
        </is>
      </c>
      <c r="K41" s="20" t="inlineStr">
        <is>
          <t>Gemeente / regio</t>
        </is>
      </c>
      <c r="L41" s="20" t="inlineStr">
        <is>
          <t>Model</t>
        </is>
      </c>
      <c r="M41" s="20" t="inlineStr">
        <is>
          <t>Elektriciteit</t>
        </is>
      </c>
      <c r="N41" s="20" t="inlineStr">
        <is>
          <t>4 Operationeel</t>
        </is>
      </c>
      <c r="O41" s="20" t="inlineStr">
        <is>
          <t>ADE 5.2</t>
        </is>
      </c>
      <c r="P41" s="20" t="inlineStr">
        <is>
          <t>ADE</t>
        </is>
      </c>
      <c r="Q41" s="20" t="n"/>
      <c r="R41" s="20" t="inlineStr">
        <is>
          <t>Gem. Deventer, Enexis, Siers, Esri</t>
        </is>
      </c>
      <c r="S41" s="20" t="inlineStr">
        <is>
          <t>Trekker</t>
        </is>
      </c>
      <c r="T41" s="20" t="inlineStr">
        <is>
          <t>Toegepast 2025; doorlooptijd 3x korter</t>
        </is>
      </c>
      <c r="U41" s="20" t="inlineStr">
        <is>
          <t>Versnellen aanleg via gedeeld 3D-beeld</t>
        </is>
      </c>
      <c r="V41" s="20" t="inlineStr">
        <is>
          <t>https://magazine.esri.nl/esri-magazine-3-2025/netcongestie-te-lijf-met-de-juiste-data</t>
        </is>
      </c>
      <c r="W41" s="20" t="n">
        <v>52.25</v>
      </c>
      <c r="X41" s="20" t="n">
        <v>6.16</v>
      </c>
      <c r="Y41" s="20" t="inlineStr">
        <is>
          <t>v4 of eerder</t>
        </is>
      </c>
      <c r="Z41" s="23" t="inlineStr">
        <is>
          <t>nee</t>
        </is>
      </c>
      <c r="AA41" s="20" t="inlineStr">
        <is>
          <t>Twin-instantie</t>
        </is>
      </c>
      <c r="AB41" s="20" t="inlineStr">
        <is>
          <t>Model</t>
        </is>
      </c>
      <c r="AC41" s="20" t="inlineStr">
        <is>
          <t>Gerealiseerd</t>
        </is>
      </c>
      <c r="AD41" s="20" t="inlineStr">
        <is>
          <t>1 Digitaal model</t>
        </is>
      </c>
      <c r="AE41" s="20" t="inlineStr">
        <is>
          <t>Elektriciteit</t>
        </is>
      </c>
      <c r="AF41" s="20" t="inlineStr">
        <is>
          <t>Trekker/eigenaar</t>
        </is>
      </c>
      <c r="AG41" s="20" t="inlineStr">
        <is>
          <t>C secundaire bron</t>
        </is>
      </c>
    </row>
    <row r="42" ht="41.75" customHeight="1" s="15">
      <c r="A42" s="20" t="inlineStr">
        <is>
          <t>DT-041</t>
        </is>
      </c>
      <c r="B42" s="20" t="inlineStr">
        <is>
          <t>T</t>
        </is>
      </c>
      <c r="C42" s="20" t="inlineStr">
        <is>
          <t>Twin-instantie (NL)</t>
        </is>
      </c>
      <c r="D42" s="20" t="inlineStr">
        <is>
          <t>Digital Twin LS Flex</t>
        </is>
      </c>
      <c r="E42" s="20" t="inlineStr">
        <is>
          <t>Energie</t>
        </is>
      </c>
      <c r="F42" s="20" t="inlineStr">
        <is>
          <t>NL</t>
        </is>
      </c>
      <c r="G42" s="20" t="inlineStr">
        <is>
          <t>NL</t>
        </is>
      </c>
      <c r="H42" s="20" t="inlineStr">
        <is>
          <t>Twin-instantie</t>
        </is>
      </c>
      <c r="I42" s="20" t="inlineStr">
        <is>
          <t>Inzicht &amp; monitoring</t>
        </is>
      </c>
      <c r="J42" s="20" t="inlineStr">
        <is>
          <t>Sturing &amp; optimalisatie</t>
        </is>
      </c>
      <c r="K42" s="20" t="inlineStr">
        <is>
          <t>Wijk / bedrijventerrein / hub</t>
        </is>
      </c>
      <c r="L42" s="20" t="inlineStr">
        <is>
          <t>Schaduw</t>
        </is>
      </c>
      <c r="M42" s="20" t="inlineStr">
        <is>
          <t>Elektriciteit (LS)</t>
        </is>
      </c>
      <c r="N42" s="20" t="inlineStr">
        <is>
          <t>2 Pilot/PoC</t>
        </is>
      </c>
      <c r="O42" s="20" t="inlineStr">
        <is>
          <t>ADE 2.2</t>
        </is>
      </c>
      <c r="P42" s="20" t="inlineStr">
        <is>
          <t>ADE</t>
        </is>
      </c>
      <c r="Q42" s="20" t="n"/>
      <c r="R42" s="20" t="inlineStr">
        <is>
          <t>Netbeheer-samenwerking</t>
        </is>
      </c>
      <c r="S42" s="20" t="inlineStr">
        <is>
          <t>Trekker</t>
        </is>
      </c>
      <c r="T42" s="20" t="inlineStr">
        <is>
          <t>Lopend (te verifiëren)</t>
        </is>
      </c>
      <c r="U42" s="20" t="inlineStr">
        <is>
          <t>Flex in laagspanningsnet</t>
        </is>
      </c>
      <c r="V42" s="20" t="inlineStr">
        <is>
          <t>https://www.dep.nl/artikelen/digital-twin-ls-flex-samen-grip-krijgen-op-flexibiliteit-in-het-laagspanningsnet/</t>
        </is>
      </c>
      <c r="W42" s="20" t="n">
        <v>52.13</v>
      </c>
      <c r="X42" s="20" t="n">
        <v>5.29</v>
      </c>
      <c r="Y42" s="20" t="inlineStr">
        <is>
          <t>v4 of eerder</t>
        </is>
      </c>
      <c r="Z42" s="23" t="inlineStr">
        <is>
          <t>nee</t>
        </is>
      </c>
      <c r="AA42" s="20" t="inlineStr">
        <is>
          <t>Twin-instantie</t>
        </is>
      </c>
      <c r="AB42" s="20" t="inlineStr">
        <is>
          <t>Schaduw</t>
        </is>
      </c>
      <c r="AC42" s="20" t="inlineStr">
        <is>
          <t>Gerealiseerd</t>
        </is>
      </c>
      <c r="AD42" s="20" t="inlineStr">
        <is>
          <t>2 Digitale schaduw</t>
        </is>
      </c>
      <c r="AE42" s="20" t="inlineStr">
        <is>
          <t>Elektriciteit</t>
        </is>
      </c>
      <c r="AF42" s="20" t="inlineStr">
        <is>
          <t>Trekker/eigenaar</t>
        </is>
      </c>
      <c r="AG42" s="20" t="inlineStr">
        <is>
          <t>D aanname</t>
        </is>
      </c>
    </row>
    <row r="43" ht="41.75" customHeight="1" s="15">
      <c r="A43" s="20" t="inlineStr">
        <is>
          <t>DT-042</t>
        </is>
      </c>
      <c r="B43" s="20" t="inlineStr">
        <is>
          <t>T</t>
        </is>
      </c>
      <c r="C43" s="20" t="inlineStr">
        <is>
          <t>Twin-instantie (NL)</t>
        </is>
      </c>
      <c r="D43" s="20" t="inlineStr">
        <is>
          <t>Gradyent warmtenet-twins</t>
        </is>
      </c>
      <c r="E43" s="20" t="inlineStr">
        <is>
          <t>Energie</t>
        </is>
      </c>
      <c r="F43" s="20" t="inlineStr">
        <is>
          <t>NL</t>
        </is>
      </c>
      <c r="G43" s="20" t="inlineStr">
        <is>
          <t>NL</t>
        </is>
      </c>
      <c r="H43" s="20" t="inlineStr">
        <is>
          <t>Twin-instantie</t>
        </is>
      </c>
      <c r="I43" s="20" t="inlineStr">
        <is>
          <t>Voorspellen</t>
        </is>
      </c>
      <c r="J43" s="20" t="inlineStr">
        <is>
          <t>Sturing &amp; optimalisatie</t>
        </is>
      </c>
      <c r="K43" s="20" t="inlineStr">
        <is>
          <t>Gemeente / regio</t>
        </is>
      </c>
      <c r="L43" s="20" t="inlineStr">
        <is>
          <t>Tweeling</t>
        </is>
      </c>
      <c r="M43" s="20" t="inlineStr">
        <is>
          <t>Warmte</t>
        </is>
      </c>
      <c r="N43" s="20" t="inlineStr">
        <is>
          <t>5 Opgeschaald</t>
        </is>
      </c>
      <c r="O43" s="20" t="inlineStr">
        <is>
          <t>-</t>
        </is>
      </c>
      <c r="P43" s="20" t="inlineStr">
        <is>
          <t>-</t>
        </is>
      </c>
      <c r="Q43" s="20" t="n"/>
      <c r="R43" s="20" t="inlineStr">
        <is>
          <t>Gradyent; Ennatuurlijk, Eneco, Gasunie WarmtelinQ e.a.</t>
        </is>
      </c>
      <c r="S43" s="20" t="inlineStr">
        <is>
          <t>Trekker; ook &gt;35 Europese steden</t>
        </is>
      </c>
      <c r="T43" s="20" t="inlineStr">
        <is>
          <t>Operationeel, &gt;35 Europese steden</t>
        </is>
      </c>
      <c r="U43" s="20" t="inlineStr">
        <is>
          <t>Commercieel opgeschaald</t>
        </is>
      </c>
      <c r="V43" s="20" t="inlineStr">
        <is>
          <t>https://www.industrielinqs.nl/digitalisering/2025/04/gradyent-haalt-28-miljoen-euro-versterking-warmtenetten-met-digital-twins/</t>
        </is>
      </c>
      <c r="W43" s="20" t="n">
        <v>51.98</v>
      </c>
      <c r="X43" s="20" t="n">
        <v>5.91</v>
      </c>
      <c r="Y43" s="20" t="inlineStr">
        <is>
          <t>v4 of eerder</t>
        </is>
      </c>
      <c r="Z43" s="23" t="inlineStr">
        <is>
          <t>nee</t>
        </is>
      </c>
      <c r="AA43" s="20" t="inlineStr">
        <is>
          <t>Twin-instantie</t>
        </is>
      </c>
      <c r="AB43" s="20" t="inlineStr">
        <is>
          <t>Tweeling</t>
        </is>
      </c>
      <c r="AC43" s="20" t="inlineStr">
        <is>
          <t>Gerealiseerd</t>
        </is>
      </c>
      <c r="AD43" s="20" t="inlineStr">
        <is>
          <t>5 Sturende tweeling</t>
        </is>
      </c>
      <c r="AE43" s="20" t="inlineStr">
        <is>
          <t>Warmte/koude</t>
        </is>
      </c>
      <c r="AF43" s="20" t="inlineStr">
        <is>
          <t>Trekker/eigenaar</t>
        </is>
      </c>
      <c r="AG43" s="20" t="inlineStr">
        <is>
          <t>C secundaire bron</t>
        </is>
      </c>
    </row>
    <row r="44" ht="55.2" customHeight="1" s="15">
      <c r="A44" s="20" t="inlineStr">
        <is>
          <t>DT-043</t>
        </is>
      </c>
      <c r="B44" s="20" t="inlineStr">
        <is>
          <t>T</t>
        </is>
      </c>
      <c r="C44" s="20" t="inlineStr">
        <is>
          <t>Twin-instantie (NL)</t>
        </is>
      </c>
      <c r="D44" s="20" t="inlineStr">
        <is>
          <t>Warmtecentrale Zernike Groningen</t>
        </is>
      </c>
      <c r="E44" s="20" t="inlineStr">
        <is>
          <t>Energie</t>
        </is>
      </c>
      <c r="F44" s="20" t="inlineStr">
        <is>
          <t>NL</t>
        </is>
      </c>
      <c r="G44" s="20" t="inlineStr">
        <is>
          <t>NL</t>
        </is>
      </c>
      <c r="H44" s="20" t="inlineStr">
        <is>
          <t>Twin-instantie</t>
        </is>
      </c>
      <c r="I44" s="20" t="inlineStr">
        <is>
          <t>Sturing &amp; optimalisatie</t>
        </is>
      </c>
      <c r="J44" s="20" t="inlineStr">
        <is>
          <t>Onderzoek &amp; training</t>
        </is>
      </c>
      <c r="K44" s="20" t="inlineStr">
        <is>
          <t>Gebouw / site</t>
        </is>
      </c>
      <c r="L44" s="20" t="inlineStr">
        <is>
          <t>Tweeling</t>
        </is>
      </c>
      <c r="M44" s="20" t="inlineStr">
        <is>
          <t>Warmte</t>
        </is>
      </c>
      <c r="N44" s="20" t="inlineStr">
        <is>
          <t>3 Demonstratie/lab</t>
        </is>
      </c>
      <c r="O44" s="20" t="inlineStr">
        <is>
          <t>-</t>
        </is>
      </c>
      <c r="P44" s="20" t="inlineStr">
        <is>
          <t>-</t>
        </is>
      </c>
      <c r="Q44" s="20" t="n"/>
      <c r="R44" s="20" t="inlineStr">
        <is>
          <t>WarmteStad, KWR</t>
        </is>
      </c>
      <c r="S44" s="20" t="inlineStr">
        <is>
          <t>Trekker</t>
        </is>
      </c>
      <c r="T44" s="20" t="inlineStr">
        <is>
          <t>Demonstratie 2021-2026</t>
        </is>
      </c>
      <c r="U44" s="20" t="inlineStr">
        <is>
          <t>Seizoensopslag en restwarmte</t>
        </is>
      </c>
      <c r="V44" s="20" t="inlineStr">
        <is>
          <t>https://www.kwrwater.nl/actueel/warmtestad-en-kwr-demonstreren-duurzaam-warmtesysteem-in-groningen-met-digital-twin/</t>
        </is>
      </c>
      <c r="W44" s="20" t="n">
        <v>53.24</v>
      </c>
      <c r="X44" s="20" t="n">
        <v>6.54</v>
      </c>
      <c r="Y44" s="20" t="inlineStr">
        <is>
          <t>v4 of eerder</t>
        </is>
      </c>
      <c r="Z44" s="23" t="inlineStr">
        <is>
          <t>nee</t>
        </is>
      </c>
      <c r="AA44" s="20" t="inlineStr">
        <is>
          <t>Twin-instantie</t>
        </is>
      </c>
      <c r="AB44" s="20" t="inlineStr">
        <is>
          <t>Tweeling</t>
        </is>
      </c>
      <c r="AC44" s="20" t="inlineStr">
        <is>
          <t>Gerealiseerd</t>
        </is>
      </c>
      <c r="AD44" s="20" t="inlineStr">
        <is>
          <t>5 Sturende tweeling</t>
        </is>
      </c>
      <c r="AE44" s="20" t="inlineStr">
        <is>
          <t>Warmte/koude</t>
        </is>
      </c>
      <c r="AF44" s="20" t="inlineStr">
        <is>
          <t>Trekker/eigenaar</t>
        </is>
      </c>
      <c r="AG44" s="20" t="inlineStr">
        <is>
          <t>B primaire bron</t>
        </is>
      </c>
    </row>
    <row r="45" ht="28.35" customHeight="1" s="15">
      <c r="A45" s="20" t="inlineStr">
        <is>
          <t>DT-044</t>
        </is>
      </c>
      <c r="B45" s="20" t="inlineStr">
        <is>
          <t>T</t>
        </is>
      </c>
      <c r="C45" s="20" t="inlineStr">
        <is>
          <t>Twin-instantie (NL)</t>
        </is>
      </c>
      <c r="D45" s="20" t="inlineStr">
        <is>
          <t>Smart Twin: woningvoorraad warmtetransitie</t>
        </is>
      </c>
      <c r="E45" s="20" t="inlineStr">
        <is>
          <t>Energie + GO</t>
        </is>
      </c>
      <c r="F45" s="20" t="inlineStr">
        <is>
          <t>NL</t>
        </is>
      </c>
      <c r="G45" s="20" t="inlineStr">
        <is>
          <t>NL</t>
        </is>
      </c>
      <c r="H45" s="20" t="inlineStr">
        <is>
          <t>Twin-instantie</t>
        </is>
      </c>
      <c r="I45" s="20" t="inlineStr">
        <is>
          <t>Scenario &amp; planning</t>
        </is>
      </c>
      <c r="J45" s="20" t="n"/>
      <c r="K45" s="20" t="inlineStr">
        <is>
          <t>Gemeente / regio</t>
        </is>
      </c>
      <c r="L45" s="20" t="inlineStr">
        <is>
          <t>Model</t>
        </is>
      </c>
      <c r="M45" s="20" t="inlineStr">
        <is>
          <t>Gebouwde omgeving, warmte</t>
        </is>
      </c>
      <c r="N45" s="20" t="inlineStr">
        <is>
          <t>5 Opgeschaald</t>
        </is>
      </c>
      <c r="O45" s="20" t="inlineStr">
        <is>
          <t>NPE (GO)</t>
        </is>
      </c>
      <c r="P45" s="20" t="inlineStr">
        <is>
          <t>NPE</t>
        </is>
      </c>
      <c r="Q45" s="20" t="n"/>
      <c r="R45" s="20" t="inlineStr">
        <is>
          <t>De Twee Snoeken; &gt;60 gemeenten</t>
        </is>
      </c>
      <c r="S45" s="20" t="inlineStr">
        <is>
          <t>Trekker</t>
        </is>
      </c>
      <c r="T45" s="20" t="inlineStr">
        <is>
          <t>Operationeel</t>
        </is>
      </c>
      <c r="U45" s="20" t="inlineStr">
        <is>
          <t>Brug GO-energie op gemeenteniveau</t>
        </is>
      </c>
      <c r="V45" s="20" t="inlineStr">
        <is>
          <t>https://smarttwin.nl/voor-organisaties/gemeenten/</t>
        </is>
      </c>
      <c r="W45" s="20" t="n">
        <v>51.69</v>
      </c>
      <c r="X45" s="20" t="n">
        <v>5.3</v>
      </c>
      <c r="Y45" s="20" t="inlineStr">
        <is>
          <t>v4 of eerder</t>
        </is>
      </c>
      <c r="Z45" s="23" t="inlineStr">
        <is>
          <t>nee</t>
        </is>
      </c>
      <c r="AA45" s="20" t="inlineStr">
        <is>
          <t>Twin-instantie</t>
        </is>
      </c>
      <c r="AB45" s="20" t="inlineStr">
        <is>
          <t>Model</t>
        </is>
      </c>
      <c r="AC45" s="20" t="inlineStr">
        <is>
          <t>Gerealiseerd</t>
        </is>
      </c>
      <c r="AD45" s="20" t="inlineStr">
        <is>
          <t>1 Digitaal model</t>
        </is>
      </c>
      <c r="AE45" s="20" t="inlineStr">
        <is>
          <t>Warmte/koude</t>
        </is>
      </c>
      <c r="AF45" s="20" t="inlineStr">
        <is>
          <t>Trekker/eigenaar</t>
        </is>
      </c>
      <c r="AG45" s="20" t="inlineStr">
        <is>
          <t>B primaire bron</t>
        </is>
      </c>
    </row>
    <row r="46" ht="28.35" customHeight="1" s="15">
      <c r="A46" s="20" t="inlineStr">
        <is>
          <t>DT-045</t>
        </is>
      </c>
      <c r="B46" s="20" t="inlineStr">
        <is>
          <t>T</t>
        </is>
      </c>
      <c r="C46" s="20" t="inlineStr">
        <is>
          <t>Twin-instantie (NL)</t>
        </is>
      </c>
      <c r="D46" s="20" t="inlineStr">
        <is>
          <t>VB Optimum gebouw-twin (o.a. Avans)</t>
        </is>
      </c>
      <c r="E46" s="20" t="inlineStr">
        <is>
          <t>Energie + GO</t>
        </is>
      </c>
      <c r="F46" s="20" t="inlineStr">
        <is>
          <t>NL</t>
        </is>
      </c>
      <c r="G46" s="20" t="inlineStr">
        <is>
          <t>NL</t>
        </is>
      </c>
      <c r="H46" s="20" t="inlineStr">
        <is>
          <t>Twin-instantie</t>
        </is>
      </c>
      <c r="I46" s="20" t="inlineStr">
        <is>
          <t>Voorspellen</t>
        </is>
      </c>
      <c r="J46" s="20" t="inlineStr">
        <is>
          <t>Sturing &amp; optimalisatie</t>
        </is>
      </c>
      <c r="K46" s="20" t="inlineStr">
        <is>
          <t>Gebouw / site</t>
        </is>
      </c>
      <c r="L46" s="20" t="inlineStr">
        <is>
          <t>Tweeling</t>
        </is>
      </c>
      <c r="M46" s="20" t="inlineStr">
        <is>
          <t>Gebouw, warmte/koude</t>
        </is>
      </c>
      <c r="N46" s="20" t="inlineStr">
        <is>
          <t>4 Operationeel</t>
        </is>
      </c>
      <c r="O46" s="20" t="inlineStr">
        <is>
          <t>ADE 3.2 (flex eindgebruikers)</t>
        </is>
      </c>
      <c r="P46" s="20" t="inlineStr">
        <is>
          <t>ADE</t>
        </is>
      </c>
      <c r="Q46" s="20" t="n"/>
      <c r="R46" s="20" t="inlineStr">
        <is>
          <t>VB Optimum</t>
        </is>
      </c>
      <c r="S46" s="20" t="inlineStr">
        <is>
          <t>Trekker</t>
        </is>
      </c>
      <c r="T46" s="20" t="inlineStr">
        <is>
          <t>Pilot 2019-2020, commercieel</t>
        </is>
      </c>
      <c r="U46" s="20" t="inlineStr">
        <is>
          <t>Gebouwflex richting congestiemarkt</t>
        </is>
      </c>
      <c r="V46" s="20" t="inlineStr">
        <is>
          <t>https://energy-innovation.nl/nl/projecten/digital-twin-als-flexibele-klimaatregelaar/</t>
        </is>
      </c>
      <c r="W46" s="20" t="n">
        <v>51.59</v>
      </c>
      <c r="X46" s="20" t="n">
        <v>4.78</v>
      </c>
      <c r="Y46" s="20" t="inlineStr">
        <is>
          <t>v4 of eerder</t>
        </is>
      </c>
      <c r="Z46" s="23" t="inlineStr">
        <is>
          <t>nee</t>
        </is>
      </c>
      <c r="AA46" s="20" t="inlineStr">
        <is>
          <t>Twin-instantie</t>
        </is>
      </c>
      <c r="AB46" s="20" t="inlineStr">
        <is>
          <t>Tweeling</t>
        </is>
      </c>
      <c r="AC46" s="20" t="inlineStr">
        <is>
          <t>Gerealiseerd</t>
        </is>
      </c>
      <c r="AD46" s="20" t="inlineStr">
        <is>
          <t>5 Sturende tweeling</t>
        </is>
      </c>
      <c r="AE46" s="20" t="inlineStr">
        <is>
          <t>Warmte/koude</t>
        </is>
      </c>
      <c r="AF46" s="20" t="inlineStr">
        <is>
          <t>Trekker/eigenaar</t>
        </is>
      </c>
      <c r="AG46" s="20" t="inlineStr">
        <is>
          <t>B primaire bron</t>
        </is>
      </c>
    </row>
    <row r="47" ht="55.2" customHeight="1" s="15">
      <c r="A47" s="20" t="inlineStr">
        <is>
          <t>DT-046</t>
        </is>
      </c>
      <c r="B47" s="20" t="inlineStr">
        <is>
          <t>T</t>
        </is>
      </c>
      <c r="C47" s="20" t="inlineStr">
        <is>
          <t>Twin-instantie (NL)</t>
        </is>
      </c>
      <c r="D47" s="20" t="inlineStr">
        <is>
          <t>Energiehub-twins provincie Utrecht</t>
        </is>
      </c>
      <c r="E47" s="20" t="inlineStr">
        <is>
          <t>Energie</t>
        </is>
      </c>
      <c r="F47" s="20" t="inlineStr">
        <is>
          <t>NL</t>
        </is>
      </c>
      <c r="G47" s="20" t="inlineStr">
        <is>
          <t>NL</t>
        </is>
      </c>
      <c r="H47" s="20" t="inlineStr">
        <is>
          <t>Twin-instantie</t>
        </is>
      </c>
      <c r="I47" s="20" t="inlineStr">
        <is>
          <t>Scenario &amp; planning</t>
        </is>
      </c>
      <c r="J47" s="20" t="inlineStr">
        <is>
          <t>Gezamenlijke besluitvorming</t>
        </is>
      </c>
      <c r="K47" s="20" t="inlineStr">
        <is>
          <t>Wijk / bedrijventerrein / hub</t>
        </is>
      </c>
      <c r="L47" s="20" t="inlineStr">
        <is>
          <t>Model</t>
        </is>
      </c>
      <c r="M47" s="20" t="inlineStr">
        <is>
          <t>Elektriciteit</t>
        </is>
      </c>
      <c r="N47" s="20" t="inlineStr">
        <is>
          <t>2 Pilot/PoC</t>
        </is>
      </c>
      <c r="O47" s="20" t="inlineStr">
        <is>
          <t>Energiehubs</t>
        </is>
      </c>
      <c r="P47" s="20" t="inlineStr">
        <is>
          <t>TSE-INNOV</t>
        </is>
      </c>
      <c r="Q47" s="20" t="n"/>
      <c r="R47" s="20" t="inlineStr">
        <is>
          <t>Energietransitie Utrecht</t>
        </is>
      </c>
      <c r="S47" s="20" t="inlineStr">
        <is>
          <t>Trekker</t>
        </is>
      </c>
      <c r="T47" s="20" t="inlineStr">
        <is>
          <t>Aanpak energiehubs</t>
        </is>
      </c>
      <c r="U47" s="20" t="inlineStr">
        <is>
          <t>-</t>
        </is>
      </c>
      <c r="V47" s="20" t="inlineStr">
        <is>
          <t>https://www.energietransitieutrecht.nl/onderwerpen/innovatie-energietransitie/aanpak-energiehubs-op-bedrijventerreinen/digital-twin-als-stap-naar-een-energiehub</t>
        </is>
      </c>
      <c r="W47" s="20" t="n">
        <v>52.09</v>
      </c>
      <c r="X47" s="20" t="n">
        <v>5.12</v>
      </c>
      <c r="Y47" s="20" t="inlineStr">
        <is>
          <t>v4 of eerder</t>
        </is>
      </c>
      <c r="Z47" s="23" t="inlineStr">
        <is>
          <t>nee</t>
        </is>
      </c>
      <c r="AA47" s="20" t="inlineStr">
        <is>
          <t>Twin-instantie</t>
        </is>
      </c>
      <c r="AB47" s="20" t="inlineStr">
        <is>
          <t>Model</t>
        </is>
      </c>
      <c r="AC47" s="20" t="inlineStr">
        <is>
          <t>Gerealiseerd</t>
        </is>
      </c>
      <c r="AD47" s="20" t="inlineStr">
        <is>
          <t>1 Digitaal model</t>
        </is>
      </c>
      <c r="AE47" s="20" t="inlineStr">
        <is>
          <t>Elektriciteit</t>
        </is>
      </c>
      <c r="AF47" s="20" t="inlineStr">
        <is>
          <t>Trekker/eigenaar</t>
        </is>
      </c>
      <c r="AG47" s="20" t="inlineStr">
        <is>
          <t>B primaire bron</t>
        </is>
      </c>
    </row>
    <row r="48" ht="68.65000000000001" customHeight="1" s="15">
      <c r="A48" s="20" t="inlineStr">
        <is>
          <t>DT-047</t>
        </is>
      </c>
      <c r="B48" s="20" t="inlineStr">
        <is>
          <t>T</t>
        </is>
      </c>
      <c r="C48" s="20" t="inlineStr">
        <is>
          <t>Twin-instantie (NL)</t>
        </is>
      </c>
      <c r="D48" s="20" t="inlineStr">
        <is>
          <t>TwinTwente (TwinValley)</t>
        </is>
      </c>
      <c r="E48" s="20" t="inlineStr">
        <is>
          <t>Energie + GO</t>
        </is>
      </c>
      <c r="F48" s="20" t="inlineStr">
        <is>
          <t>NL</t>
        </is>
      </c>
      <c r="G48" s="20" t="inlineStr">
        <is>
          <t>NL</t>
        </is>
      </c>
      <c r="H48" s="20" t="inlineStr">
        <is>
          <t>Twin-instantie</t>
        </is>
      </c>
      <c r="I48" s="20" t="inlineStr">
        <is>
          <t>Gezamenlijke besluitvorming</t>
        </is>
      </c>
      <c r="J48" s="20" t="n"/>
      <c r="K48" s="20" t="inlineStr">
        <is>
          <t>Gemeente / regio</t>
        </is>
      </c>
      <c r="L48" s="20" t="inlineStr">
        <is>
          <t>Schaduw (beoogd)</t>
        </is>
      </c>
      <c r="M48" s="20" t="inlineStr">
        <is>
          <t>GO, energie, veiligheid</t>
        </is>
      </c>
      <c r="N48" s="20" t="inlineStr">
        <is>
          <t>1 Verkenning</t>
        </is>
      </c>
      <c r="O48" s="20" t="inlineStr">
        <is>
          <t>NLDT; DSGO</t>
        </is>
      </c>
      <c r="P48" s="20" t="inlineStr">
        <is>
          <t>NLDT;DSGO;EU-LDT</t>
        </is>
      </c>
      <c r="Q48" s="20" t="inlineStr">
        <is>
          <t>BS-IFC;BS-CITYGML</t>
        </is>
      </c>
      <c r="R48" s="20" t="inlineStr">
        <is>
          <t>Twente Board, prov. Overijssel e.a.</t>
        </is>
      </c>
      <c r="S48" s="20" t="inlineStr">
        <is>
          <t>Trekker</t>
        </is>
      </c>
      <c r="T48" s="20" t="inlineStr">
        <is>
          <t>Fase 2 feb.-jul. 2026</t>
        </is>
      </c>
      <c r="U48" s="20" t="inlineStr">
        <is>
          <t>Data-afspraken vóór twin; regionale stichting</t>
        </is>
      </c>
      <c r="V48" s="20" t="inlineStr">
        <is>
          <t>https://www.sustainablescale-up.com/twinvalley-programme/twintwente-nl</t>
        </is>
      </c>
      <c r="W48" s="20" t="n">
        <v>52.22</v>
      </c>
      <c r="X48" s="20" t="n">
        <v>6.89</v>
      </c>
      <c r="Y48" s="20" t="inlineStr">
        <is>
          <t>v4 of eerder</t>
        </is>
      </c>
      <c r="Z48" s="23" t="inlineStr">
        <is>
          <t>nee</t>
        </is>
      </c>
      <c r="AA48" s="20" t="inlineStr">
        <is>
          <t>Twin-instantie</t>
        </is>
      </c>
      <c r="AB48" s="20" t="inlineStr">
        <is>
          <t>Schaduw</t>
        </is>
      </c>
      <c r="AC48" s="20" t="inlineStr">
        <is>
          <t>Beoogd</t>
        </is>
      </c>
      <c r="AD48" s="20" t="inlineStr">
        <is>
          <t>4 Scenario-tweeling (beoogd)</t>
        </is>
      </c>
      <c r="AE48" s="20" t="inlineStr">
        <is>
          <t>n.v.t.</t>
        </is>
      </c>
      <c r="AF48" s="20" t="inlineStr">
        <is>
          <t>Trekker/eigenaar</t>
        </is>
      </c>
      <c r="AG48" s="20" t="inlineStr">
        <is>
          <t>C secundaire bron</t>
        </is>
      </c>
    </row>
    <row r="49" ht="55.2" customHeight="1" s="15">
      <c r="A49" s="20" t="inlineStr">
        <is>
          <t>DT-048</t>
        </is>
      </c>
      <c r="B49" s="20" t="inlineStr">
        <is>
          <t>T</t>
        </is>
      </c>
      <c r="C49" s="20" t="inlineStr">
        <is>
          <t>Twin-instantie (NL)</t>
        </is>
      </c>
      <c r="D49" s="20" t="inlineStr">
        <is>
          <t>Open Urban Platform Rotterdam / Schiehaven Noord</t>
        </is>
      </c>
      <c r="E49" s="20" t="inlineStr">
        <is>
          <t>GO</t>
        </is>
      </c>
      <c r="F49" s="20" t="inlineStr">
        <is>
          <t>NL</t>
        </is>
      </c>
      <c r="G49" s="20" t="inlineStr">
        <is>
          <t>NL</t>
        </is>
      </c>
      <c r="H49" s="20" t="inlineStr">
        <is>
          <t>Twin-instantie</t>
        </is>
      </c>
      <c r="I49" s="20" t="inlineStr">
        <is>
          <t>Gezamenlijke besluitvorming</t>
        </is>
      </c>
      <c r="J49" s="20" t="inlineStr">
        <is>
          <t>Scenario &amp; planning</t>
        </is>
      </c>
      <c r="K49" s="20" t="inlineStr">
        <is>
          <t>Gemeente / regio</t>
        </is>
      </c>
      <c r="L49" s="20" t="inlineStr">
        <is>
          <t>Model/schaduw</t>
        </is>
      </c>
      <c r="M49" s="20" t="inlineStr">
        <is>
          <t>GO, klimaat</t>
        </is>
      </c>
      <c r="N49" s="20" t="inlineStr">
        <is>
          <t>4 Operationeel</t>
        </is>
      </c>
      <c r="O49" s="20" t="inlineStr">
        <is>
          <t>NLDT</t>
        </is>
      </c>
      <c r="P49" s="20" t="inlineStr">
        <is>
          <t>NLDT</t>
        </is>
      </c>
      <c r="Q49" s="20" t="inlineStr">
        <is>
          <t>BS-IFC;BS-3DTILES</t>
        </is>
      </c>
      <c r="R49" s="20" t="inlineStr">
        <is>
          <t>Gem. Rotterdam, Future Insight met Capgemini (contract van tien jaar na Europese aanbesteding), Geonovum</t>
        </is>
      </c>
      <c r="S49" s="20" t="inlineStr">
        <is>
          <t>Trekker</t>
        </is>
      </c>
      <c r="T49" s="20" t="inlineStr">
        <is>
          <t>Live sinds 15-1-2025</t>
        </is>
      </c>
      <c r="U49" s="20" t="inlineStr">
        <is>
          <t>Voorbeeld GO-twin met energie als potentiële laag; opgebouwd uit losse componenten met open interfaces tegen vendor lock-in; de bronnen noemen geen energietoepassing</t>
        </is>
      </c>
      <c r="V49" s="20" t="inlineStr">
        <is>
          <t>https://www.rotterdam.nl/open-urban-platform-rotterdam ; https://ibestuur.nl/data-en-ai/toepassingen/rotterdam-ontwikkelt-open-urban-platform-met-digital-twin</t>
        </is>
      </c>
      <c r="W49" s="20" t="n">
        <v>51.91</v>
      </c>
      <c r="X49" s="20" t="n">
        <v>4.46</v>
      </c>
      <c r="Y49" s="20" t="inlineStr">
        <is>
          <t>v4 of eerder</t>
        </is>
      </c>
      <c r="Z49" s="23" t="inlineStr">
        <is>
          <t>nee</t>
        </is>
      </c>
      <c r="AA49" s="20" t="inlineStr">
        <is>
          <t>Twin-instantie</t>
        </is>
      </c>
      <c r="AB49" s="20" t="inlineStr">
        <is>
          <t>Model of schaduw (onzeker)</t>
        </is>
      </c>
      <c r="AC49" s="20" t="inlineStr">
        <is>
          <t>Gerealiseerd</t>
        </is>
      </c>
      <c r="AD49" s="20" t="inlineStr">
        <is>
          <t>4 Scenario-tweeling</t>
        </is>
      </c>
      <c r="AE49" s="20" t="inlineStr">
        <is>
          <t>n.v.t.</t>
        </is>
      </c>
      <c r="AF49" s="20" t="inlineStr">
        <is>
          <t>Trekker/eigenaar</t>
        </is>
      </c>
      <c r="AG49" s="20" t="inlineStr">
        <is>
          <t>B primaire bron</t>
        </is>
      </c>
    </row>
    <row r="50" ht="41.75" customHeight="1" s="15">
      <c r="A50" s="20" t="inlineStr">
        <is>
          <t>DT-049</t>
        </is>
      </c>
      <c r="B50" s="20" t="inlineStr">
        <is>
          <t>T</t>
        </is>
      </c>
      <c r="C50" s="20" t="inlineStr">
        <is>
          <t>Twin-instantie (NL)</t>
        </is>
      </c>
      <c r="D50" s="20" t="inlineStr">
        <is>
          <t>Use case Flevoland / Almere (DMI)</t>
        </is>
      </c>
      <c r="E50" s="20" t="inlineStr">
        <is>
          <t>Energie + GO</t>
        </is>
      </c>
      <c r="F50" s="20" t="inlineStr">
        <is>
          <t>NL</t>
        </is>
      </c>
      <c r="G50" s="20" t="inlineStr">
        <is>
          <t>NL</t>
        </is>
      </c>
      <c r="H50" s="20" t="inlineStr">
        <is>
          <t>Twin-instantie</t>
        </is>
      </c>
      <c r="I50" s="20" t="inlineStr">
        <is>
          <t>Scenario &amp; planning</t>
        </is>
      </c>
      <c r="J50" s="20" t="inlineStr">
        <is>
          <t>Gezamenlijke besluitvorming</t>
        </is>
      </c>
      <c r="K50" s="20" t="inlineStr">
        <is>
          <t>Gemeente / regio</t>
        </is>
      </c>
      <c r="L50" s="20" t="inlineStr">
        <is>
          <t>Model</t>
        </is>
      </c>
      <c r="M50" s="20" t="inlineStr">
        <is>
          <t>Elektriciteit (energie-infrastructuur)</t>
        </is>
      </c>
      <c r="N50" s="20" t="inlineStr">
        <is>
          <t>2 Pilot/PoC</t>
        </is>
      </c>
      <c r="O50" s="20" t="inlineStr">
        <is>
          <t>NLDT</t>
        </is>
      </c>
      <c r="P50" s="20" t="inlineStr">
        <is>
          <t>NLDT</t>
        </is>
      </c>
      <c r="Q50" s="20" t="n"/>
      <c r="R50" s="20" t="inlineStr">
        <is>
          <t>Provincie Flevoland, gemeente Almere, Esri, Hexagon/IMAGEM, Microsoft, Kadaster, TNO</t>
        </is>
      </c>
      <c r="S50" s="20" t="inlineStr">
        <is>
          <t>Trekker</t>
        </is>
      </c>
      <c r="T50" s="20" t="inlineStr">
        <is>
          <t>Lopend; woningbouwopgave (100.000 woningen) met mobiliteit en energie</t>
        </is>
      </c>
      <c r="U50" s="20" t="inlineStr">
        <is>
          <t>Concreet aanknopingspunt voor een use case netcongestie bij woningbouw op NLDT-architectuur</t>
        </is>
      </c>
      <c r="V50" s="20" t="inlineStr">
        <is>
          <t>https://dmi-ecosysteem.nl/blog/ontwikkeling-digital-twin-voor-flevoland-en-almere-van-start/</t>
        </is>
      </c>
      <c r="W50" s="20" t="n">
        <v>52.37</v>
      </c>
      <c r="X50" s="20" t="n">
        <v>5.21</v>
      </c>
      <c r="Y50" s="20" t="inlineStr">
        <is>
          <t>v6</t>
        </is>
      </c>
      <c r="Z50" s="23" t="inlineStr">
        <is>
          <t>nee</t>
        </is>
      </c>
      <c r="AA50" s="20" t="inlineStr">
        <is>
          <t>Twin-instantie</t>
        </is>
      </c>
      <c r="AB50" s="20" t="inlineStr">
        <is>
          <t>Model</t>
        </is>
      </c>
      <c r="AC50" s="20" t="inlineStr">
        <is>
          <t>Gerealiseerd</t>
        </is>
      </c>
      <c r="AD50" s="20" t="inlineStr">
        <is>
          <t>1 Digitaal model</t>
        </is>
      </c>
      <c r="AE50" s="20" t="inlineStr">
        <is>
          <t>Elektriciteit</t>
        </is>
      </c>
      <c r="AF50" s="20" t="inlineStr">
        <is>
          <t>Trekker/eigenaar</t>
        </is>
      </c>
      <c r="AG50" s="20" t="inlineStr">
        <is>
          <t>B primaire bron</t>
        </is>
      </c>
    </row>
    <row r="51" ht="28.35" customHeight="1" s="15">
      <c r="A51" s="20" t="inlineStr">
        <is>
          <t>DT-050</t>
        </is>
      </c>
      <c r="B51" s="20" t="inlineStr">
        <is>
          <t>T</t>
        </is>
      </c>
      <c r="C51" s="20" t="inlineStr">
        <is>
          <t>Twin-instantie (NL)</t>
        </is>
      </c>
      <c r="D51" s="20" t="inlineStr">
        <is>
          <t>Urban Development Initiative Eindhoven</t>
        </is>
      </c>
      <c r="E51" s="20" t="inlineStr">
        <is>
          <t>GO</t>
        </is>
      </c>
      <c r="F51" s="20" t="inlineStr">
        <is>
          <t>NL</t>
        </is>
      </c>
      <c r="G51" s="20" t="inlineStr">
        <is>
          <t>NL</t>
        </is>
      </c>
      <c r="H51" s="20" t="inlineStr">
        <is>
          <t>Twin-instantie</t>
        </is>
      </c>
      <c r="I51" s="20" t="inlineStr">
        <is>
          <t>Scenario &amp; planning</t>
        </is>
      </c>
      <c r="J51" s="20" t="inlineStr">
        <is>
          <t>Gezamenlijke besluitvorming</t>
        </is>
      </c>
      <c r="K51" s="20" t="inlineStr">
        <is>
          <t>Gemeente / regio</t>
        </is>
      </c>
      <c r="L51" s="20" t="inlineStr">
        <is>
          <t>Model</t>
        </is>
      </c>
      <c r="M51" s="20" t="inlineStr">
        <is>
          <t>n.v.t.</t>
        </is>
      </c>
      <c r="N51" s="20" t="inlineStr">
        <is>
          <t>3 Demonstratie/lab</t>
        </is>
      </c>
      <c r="O51" s="20" t="inlineStr">
        <is>
          <t>-</t>
        </is>
      </c>
      <c r="P51" s="20" t="inlineStr">
        <is>
          <t>-</t>
        </is>
      </c>
      <c r="Q51" s="20" t="n"/>
      <c r="R51" s="20" t="inlineStr">
        <is>
          <t>Gemeente Eindhoven, Brainport</t>
        </is>
      </c>
      <c r="S51" s="20" t="inlineStr">
        <is>
          <t>Trekker</t>
        </is>
      </c>
      <c r="T51" s="20" t="inlineStr">
        <is>
          <t>Lopend</t>
        </is>
      </c>
      <c r="U51" s="20" t="inlineStr">
        <is>
          <t>Stedelijke planningstwin; energie nog geen expliciete laag</t>
        </is>
      </c>
      <c r="V51" s="20" t="inlineStr">
        <is>
          <t>https://brainporteindhoven.com/udi/en/urban-planning-reimagined</t>
        </is>
      </c>
      <c r="W51" s="20" t="n">
        <v>51.44</v>
      </c>
      <c r="X51" s="20" t="n">
        <v>5.47</v>
      </c>
      <c r="Y51" s="20" t="inlineStr">
        <is>
          <t>v6</t>
        </is>
      </c>
      <c r="Z51" s="23" t="inlineStr">
        <is>
          <t>nee</t>
        </is>
      </c>
      <c r="AA51" s="20" t="inlineStr">
        <is>
          <t>Twin-instantie</t>
        </is>
      </c>
      <c r="AB51" s="20" t="inlineStr">
        <is>
          <t>Model</t>
        </is>
      </c>
      <c r="AC51" s="20" t="inlineStr">
        <is>
          <t>Gerealiseerd</t>
        </is>
      </c>
      <c r="AD51" s="20" t="inlineStr">
        <is>
          <t>1 Digitaal model</t>
        </is>
      </c>
      <c r="AE51" s="20" t="inlineStr">
        <is>
          <t>n.v.t.</t>
        </is>
      </c>
      <c r="AF51" s="20" t="inlineStr">
        <is>
          <t>Trekker/eigenaar</t>
        </is>
      </c>
      <c r="AG51" s="20" t="inlineStr">
        <is>
          <t>B primaire bron</t>
        </is>
      </c>
    </row>
    <row r="52" ht="41.75" customHeight="1" s="15">
      <c r="A52" s="20" t="inlineStr">
        <is>
          <t>DT-051</t>
        </is>
      </c>
      <c r="B52" s="20" t="inlineStr">
        <is>
          <t>T</t>
        </is>
      </c>
      <c r="C52" s="20" t="inlineStr">
        <is>
          <t>Twin-instantie (NL)</t>
        </is>
      </c>
      <c r="D52" s="20" t="inlineStr">
        <is>
          <t>Crowd Safety Manager</t>
        </is>
      </c>
      <c r="E52" s="20" t="inlineStr">
        <is>
          <t>Overig</t>
        </is>
      </c>
      <c r="F52" s="20" t="inlineStr">
        <is>
          <t>NL</t>
        </is>
      </c>
      <c r="G52" s="20" t="inlineStr">
        <is>
          <t>NL</t>
        </is>
      </c>
      <c r="H52" s="20" t="inlineStr">
        <is>
          <t>Twin-instantie</t>
        </is>
      </c>
      <c r="I52" s="20" t="inlineStr">
        <is>
          <t>Inzicht &amp; monitoring</t>
        </is>
      </c>
      <c r="J52" s="20" t="inlineStr">
        <is>
          <t>Sturing &amp; optimalisatie</t>
        </is>
      </c>
      <c r="K52" s="20" t="inlineStr">
        <is>
          <t>Gemeente / regio</t>
        </is>
      </c>
      <c r="L52" s="20" t="inlineStr">
        <is>
          <t>Schaduw</t>
        </is>
      </c>
      <c r="M52" s="20" t="inlineStr">
        <is>
          <t>n.v.t.</t>
        </is>
      </c>
      <c r="N52" s="20" t="inlineStr">
        <is>
          <t>5 Opgeschaald</t>
        </is>
      </c>
      <c r="O52" s="20" t="inlineStr">
        <is>
          <t>-</t>
        </is>
      </c>
      <c r="P52" s="20" t="inlineStr">
        <is>
          <t>-</t>
        </is>
      </c>
      <c r="Q52" s="20" t="n"/>
      <c r="R52" s="20" t="inlineStr">
        <is>
          <t>Gemeente Den Haag, Nationale Politie; opgeschaald naar Den Bosch, Breda, Rotterdam</t>
        </is>
      </c>
      <c r="S52" s="20" t="inlineStr">
        <is>
          <t>Trekker</t>
        </is>
      </c>
      <c r="T52" s="20" t="inlineStr">
        <is>
          <t>Operationeel</t>
        </is>
      </c>
      <c r="U52" s="20" t="inlineStr">
        <is>
          <t>Bewijs dat een twin-toepassing tussen gemeenten kan worden hergebruikt</t>
        </is>
      </c>
      <c r="V52" s="20" t="inlineStr">
        <is>
          <t>Een perfecte storm (WE Labs, 2023)</t>
        </is>
      </c>
      <c r="W52" s="20" t="n">
        <v>52.08</v>
      </c>
      <c r="X52" s="20" t="n">
        <v>4.31</v>
      </c>
      <c r="Y52" s="20" t="inlineStr">
        <is>
          <t>v6</t>
        </is>
      </c>
      <c r="Z52" s="23" t="inlineStr">
        <is>
          <t>nee</t>
        </is>
      </c>
      <c r="AA52" s="20" t="inlineStr">
        <is>
          <t>Twin-instantie</t>
        </is>
      </c>
      <c r="AB52" s="20" t="inlineStr">
        <is>
          <t>Schaduw</t>
        </is>
      </c>
      <c r="AC52" s="20" t="inlineStr">
        <is>
          <t>Gerealiseerd</t>
        </is>
      </c>
      <c r="AD52" s="20" t="inlineStr">
        <is>
          <t>2 Digitale schaduw</t>
        </is>
      </c>
      <c r="AE52" s="20" t="inlineStr">
        <is>
          <t>n.v.t.</t>
        </is>
      </c>
      <c r="AF52" s="20" t="inlineStr">
        <is>
          <t>Trekker/eigenaar</t>
        </is>
      </c>
      <c r="AG52" s="20" t="inlineStr">
        <is>
          <t>C secundaire bron</t>
        </is>
      </c>
    </row>
    <row r="53" ht="41.75" customHeight="1" s="15">
      <c r="A53" s="20" t="inlineStr">
        <is>
          <t>DT-052</t>
        </is>
      </c>
      <c r="B53" s="20" t="inlineStr">
        <is>
          <t>T</t>
        </is>
      </c>
      <c r="C53" s="20" t="inlineStr">
        <is>
          <t>Twin-instantie (NL)</t>
        </is>
      </c>
      <c r="D53" s="20" t="inlineStr">
        <is>
          <t>Digital Twin-dashboard Den Haag</t>
        </is>
      </c>
      <c r="E53" s="20" t="inlineStr">
        <is>
          <t>GO</t>
        </is>
      </c>
      <c r="F53" s="20" t="inlineStr">
        <is>
          <t>NL</t>
        </is>
      </c>
      <c r="G53" s="20" t="inlineStr">
        <is>
          <t>NL</t>
        </is>
      </c>
      <c r="H53" s="20" t="inlineStr">
        <is>
          <t>Twin-instantie</t>
        </is>
      </c>
      <c r="I53" s="20" t="inlineStr">
        <is>
          <t>Inzicht &amp; monitoring</t>
        </is>
      </c>
      <c r="J53" s="20" t="inlineStr">
        <is>
          <t>Gezamenlijke besluitvorming</t>
        </is>
      </c>
      <c r="K53" s="20" t="inlineStr">
        <is>
          <t>Gemeente / regio</t>
        </is>
      </c>
      <c r="L53" s="20" t="inlineStr">
        <is>
          <t>Model</t>
        </is>
      </c>
      <c r="M53" s="20" t="inlineStr">
        <is>
          <t>n.v.t.</t>
        </is>
      </c>
      <c r="N53" s="20" t="inlineStr">
        <is>
          <t>4 Operationeel</t>
        </is>
      </c>
      <c r="O53" s="20" t="inlineStr">
        <is>
          <t>-</t>
        </is>
      </c>
      <c r="P53" s="20" t="inlineStr">
        <is>
          <t>-</t>
        </is>
      </c>
      <c r="Q53" s="20" t="n"/>
      <c r="R53" s="20" t="inlineStr">
        <is>
          <t>Gemeente Den Haag, Argaleo; met Breda en Den Bosch (Startup in Residence InterGov)</t>
        </is>
      </c>
      <c r="S53" s="20" t="inlineStr">
        <is>
          <t>Trekker</t>
        </is>
      </c>
      <c r="T53" s="20" t="inlineStr">
        <is>
          <t>Sinds 2021</t>
        </is>
      </c>
      <c r="U53" s="20" t="inlineStr">
        <is>
          <t>Dashboard voor maatschappelijke opgaven; dezelfde aanbieder als de TU Delft-campusnettwin</t>
        </is>
      </c>
      <c r="V53" s="20" t="inlineStr">
        <is>
          <t>https://agendastad.nl/digital-twin-dashboard-geeft-inzicht-in-maatschappelijke-opgaven-den-haag/</t>
        </is>
      </c>
      <c r="W53" s="20" t="n">
        <v>52.08</v>
      </c>
      <c r="X53" s="20" t="n">
        <v>4.31</v>
      </c>
      <c r="Y53" s="20" t="inlineStr">
        <is>
          <t>v6</t>
        </is>
      </c>
      <c r="Z53" s="23" t="inlineStr">
        <is>
          <t>nee</t>
        </is>
      </c>
      <c r="AA53" s="20" t="inlineStr">
        <is>
          <t>Twin-instantie</t>
        </is>
      </c>
      <c r="AB53" s="20" t="inlineStr">
        <is>
          <t>Model</t>
        </is>
      </c>
      <c r="AC53" s="20" t="inlineStr">
        <is>
          <t>Gerealiseerd</t>
        </is>
      </c>
      <c r="AD53" s="20" t="inlineStr">
        <is>
          <t>1 Digitaal model</t>
        </is>
      </c>
      <c r="AE53" s="20" t="inlineStr">
        <is>
          <t>n.v.t.</t>
        </is>
      </c>
      <c r="AF53" s="20" t="inlineStr">
        <is>
          <t>Trekker/eigenaar</t>
        </is>
      </c>
      <c r="AG53" s="20" t="inlineStr">
        <is>
          <t>C secundaire bron</t>
        </is>
      </c>
    </row>
    <row r="54" ht="41.75" customHeight="1" s="15">
      <c r="A54" s="20" t="inlineStr">
        <is>
          <t>DT-053</t>
        </is>
      </c>
      <c r="B54" s="20" t="inlineStr">
        <is>
          <t>T</t>
        </is>
      </c>
      <c r="C54" s="20" t="inlineStr">
        <is>
          <t>Twin-instantie (NL)</t>
        </is>
      </c>
      <c r="D54" s="20" t="inlineStr">
        <is>
          <t>Provincie Zuid-Holland: fietsbereikbaarheid</t>
        </is>
      </c>
      <c r="E54" s="20" t="inlineStr">
        <is>
          <t>Overig</t>
        </is>
      </c>
      <c r="F54" s="20" t="inlineStr">
        <is>
          <t>NL</t>
        </is>
      </c>
      <c r="G54" s="20" t="inlineStr">
        <is>
          <t>NL</t>
        </is>
      </c>
      <c r="H54" s="20" t="inlineStr">
        <is>
          <t>Twin-instantie</t>
        </is>
      </c>
      <c r="I54" s="20" t="inlineStr">
        <is>
          <t>Scenario &amp; planning</t>
        </is>
      </c>
      <c r="J54" s="20" t="n"/>
      <c r="K54" s="20" t="inlineStr">
        <is>
          <t>Gemeente / regio</t>
        </is>
      </c>
      <c r="L54" s="20" t="inlineStr">
        <is>
          <t>Model</t>
        </is>
      </c>
      <c r="M54" s="20" t="inlineStr">
        <is>
          <t>n.v.t.</t>
        </is>
      </c>
      <c r="N54" s="20" t="inlineStr">
        <is>
          <t>3 Demonstratie/lab</t>
        </is>
      </c>
      <c r="O54" s="20" t="inlineStr">
        <is>
          <t>-</t>
        </is>
      </c>
      <c r="P54" s="20" t="inlineStr">
        <is>
          <t>-</t>
        </is>
      </c>
      <c r="Q54" s="20" t="n"/>
      <c r="R54" s="20" t="inlineStr">
        <is>
          <t>Provincie Zuid-Holland, Argaleo</t>
        </is>
      </c>
      <c r="S54" s="20" t="inlineStr">
        <is>
          <t>Trekker</t>
        </is>
      </c>
      <c r="T54" s="20" t="inlineStr">
        <is>
          <t>2022</t>
        </is>
      </c>
      <c r="U54" s="20" t="inlineStr">
        <is>
          <t>Mobiliteitstoepassing; buiten energie</t>
        </is>
      </c>
      <c r="V54" s="20" t="inlineStr">
        <is>
          <t>https://www.argaleo.com/en/2022/03/06/provincie-zuid-holland-verbetert-fietsbereikbaarheid-met-digital-twin/</t>
        </is>
      </c>
      <c r="W54" s="20" t="n">
        <v>52.08</v>
      </c>
      <c r="X54" s="20" t="n">
        <v>4.31</v>
      </c>
      <c r="Y54" s="20" t="inlineStr">
        <is>
          <t>v6</t>
        </is>
      </c>
      <c r="Z54" s="23" t="inlineStr">
        <is>
          <t>nee</t>
        </is>
      </c>
      <c r="AA54" s="20" t="inlineStr">
        <is>
          <t>Twin-instantie</t>
        </is>
      </c>
      <c r="AB54" s="20" t="inlineStr">
        <is>
          <t>Model</t>
        </is>
      </c>
      <c r="AC54" s="20" t="inlineStr">
        <is>
          <t>Gerealiseerd</t>
        </is>
      </c>
      <c r="AD54" s="20" t="inlineStr">
        <is>
          <t>1 Digitaal model</t>
        </is>
      </c>
      <c r="AE54" s="20" t="inlineStr">
        <is>
          <t>n.v.t.</t>
        </is>
      </c>
      <c r="AF54" s="20" t="inlineStr">
        <is>
          <t>Trekker/eigenaar</t>
        </is>
      </c>
      <c r="AG54" s="20" t="inlineStr">
        <is>
          <t>B primaire bron</t>
        </is>
      </c>
    </row>
    <row r="55" ht="41.75" customHeight="1" s="15">
      <c r="A55" s="20" t="inlineStr">
        <is>
          <t>DT-054</t>
        </is>
      </c>
      <c r="B55" s="20" t="inlineStr">
        <is>
          <t>T</t>
        </is>
      </c>
      <c r="C55" s="20" t="inlineStr">
        <is>
          <t>Twin-instantie (NL)</t>
        </is>
      </c>
      <c r="D55" s="20" t="inlineStr">
        <is>
          <t>Waterschapsbedrijf Limburg: twins van 17 zuiveringen</t>
        </is>
      </c>
      <c r="E55" s="20" t="inlineStr">
        <is>
          <t>Overig</t>
        </is>
      </c>
      <c r="F55" s="20" t="inlineStr">
        <is>
          <t>NL</t>
        </is>
      </c>
      <c r="G55" s="20" t="inlineStr">
        <is>
          <t>NL</t>
        </is>
      </c>
      <c r="H55" s="20" t="inlineStr">
        <is>
          <t>Twin-instantie</t>
        </is>
      </c>
      <c r="I55" s="20" t="inlineStr">
        <is>
          <t>Sturing &amp; optimalisatie</t>
        </is>
      </c>
      <c r="J55" s="20" t="inlineStr">
        <is>
          <t>Voorspellen</t>
        </is>
      </c>
      <c r="K55" s="20" t="inlineStr">
        <is>
          <t>Asset / installatie</t>
        </is>
      </c>
      <c r="L55" s="20" t="inlineStr">
        <is>
          <t>Tweeling</t>
        </is>
      </c>
      <c r="M55" s="20" t="inlineStr">
        <is>
          <t>n.v.t. (energie-intensieve installaties)</t>
        </is>
      </c>
      <c r="N55" s="20" t="inlineStr">
        <is>
          <t>4 Operationeel</t>
        </is>
      </c>
      <c r="O55" s="20" t="inlineStr">
        <is>
          <t>-</t>
        </is>
      </c>
      <c r="P55" s="20" t="inlineStr">
        <is>
          <t>-</t>
        </is>
      </c>
      <c r="Q55" s="20" t="n"/>
      <c r="R55" s="20" t="inlineStr">
        <is>
          <t>Waterschapsbedrijf Limburg, Royal HaskoningDHV</t>
        </is>
      </c>
      <c r="S55" s="20" t="inlineStr">
        <is>
          <t>Trekker</t>
        </is>
      </c>
      <c r="T55" s="20" t="inlineStr">
        <is>
          <t>Lopend</t>
        </is>
      </c>
      <c r="U55" s="20" t="inlineStr">
        <is>
          <t>Operationele tweeling bij energie-intensieve assets; mogelijke flex- en energiebesparingscase</t>
        </is>
      </c>
      <c r="V55" s="20" t="inlineStr">
        <is>
          <t>https://www.globalconstructionreview.com/dutch-water-authority-make-digital-twins-17-treatm/</t>
        </is>
      </c>
      <c r="W55" s="20" t="n">
        <v>51.19</v>
      </c>
      <c r="X55" s="20" t="n">
        <v>5.99</v>
      </c>
      <c r="Y55" s="20" t="inlineStr">
        <is>
          <t>v6</t>
        </is>
      </c>
      <c r="Z55" s="23" t="inlineStr">
        <is>
          <t>nee</t>
        </is>
      </c>
      <c r="AA55" s="20" t="inlineStr">
        <is>
          <t>Twin-instantie</t>
        </is>
      </c>
      <c r="AB55" s="20" t="inlineStr">
        <is>
          <t>Tweeling</t>
        </is>
      </c>
      <c r="AC55" s="20" t="inlineStr">
        <is>
          <t>Gerealiseerd</t>
        </is>
      </c>
      <c r="AD55" s="20" t="inlineStr">
        <is>
          <t>5 Sturende tweeling</t>
        </is>
      </c>
      <c r="AE55" s="20" t="inlineStr">
        <is>
          <t>n.v.t.</t>
        </is>
      </c>
      <c r="AF55" s="20" t="inlineStr">
        <is>
          <t>Trekker/eigenaar</t>
        </is>
      </c>
      <c r="AG55" s="20" t="inlineStr">
        <is>
          <t>C secundaire bron</t>
        </is>
      </c>
    </row>
    <row r="56" ht="55.2" customHeight="1" s="15">
      <c r="A56" s="20" t="inlineStr">
        <is>
          <t>DT-055</t>
        </is>
      </c>
      <c r="B56" s="20" t="inlineStr">
        <is>
          <t>T</t>
        </is>
      </c>
      <c r="C56" s="20" t="inlineStr">
        <is>
          <t>Twin-instantie (NL)</t>
        </is>
      </c>
      <c r="D56" s="20" t="inlineStr">
        <is>
          <t>Energy Control Businesspark Ecofactorij: digital twin en AI-sturing privaat net (MOOI)</t>
        </is>
      </c>
      <c r="E56" s="20" t="inlineStr">
        <is>
          <t>Energie</t>
        </is>
      </c>
      <c r="F56" s="20" t="inlineStr">
        <is>
          <t>NL</t>
        </is>
      </c>
      <c r="G56" s="20" t="inlineStr">
        <is>
          <t>NL</t>
        </is>
      </c>
      <c r="H56" s="20" t="inlineStr">
        <is>
          <t>Twin-instantie</t>
        </is>
      </c>
      <c r="I56" s="20" t="inlineStr">
        <is>
          <t>Sturing &amp; optimalisatie</t>
        </is>
      </c>
      <c r="J56" s="20" t="inlineStr">
        <is>
          <t>Inzicht &amp; monitoring</t>
        </is>
      </c>
      <c r="K56" s="20" t="inlineStr">
        <is>
          <t>Wijk / bedrijventerrein / hub</t>
        </is>
      </c>
      <c r="L56" s="20" t="inlineStr">
        <is>
          <t>Tweeling (beoogd)</t>
        </is>
      </c>
      <c r="M56" s="20" t="inlineStr">
        <is>
          <t>Elektriciteit (privaat net, batterijen)</t>
        </is>
      </c>
      <c r="N56" s="20" t="inlineStr">
        <is>
          <t>2 Pilot/PoC</t>
        </is>
      </c>
      <c r="O56" s="20" t="inlineStr">
        <is>
          <t>MOOI; energiehubs</t>
        </is>
      </c>
      <c r="P56" s="20" t="inlineStr">
        <is>
          <t>TSE-INNOV</t>
        </is>
      </c>
      <c r="Q56" s="20" t="n"/>
      <c r="R56" s="20" t="inlineStr">
        <is>
          <t>Coöperatief Parkmanagement Ecofactorij, Firan, Saxion, Scholt Energy, Universiteit Twente, VDL Energy Systems, Sparkling Projects, ManagedGrid</t>
        </is>
      </c>
      <c r="S56" s="20" t="inlineStr">
        <is>
          <t>Trekker</t>
        </is>
      </c>
      <c r="T56" s="20" t="inlineStr">
        <is>
          <t>Lopend (MOOI); lokaal EMS en digital twin voor batterijinzet en benutting van het eigen net</t>
        </is>
      </c>
      <c r="U56" s="20" t="inlineStr">
        <is>
          <t>Een van de weinige NL-twins met sturing als primaire functie op bedrijventerreinniveau; vergelijken met Drechtsteden (planning) en EIGEN (blauwdruk)</t>
        </is>
      </c>
      <c r="V56" s="20" t="inlineStr">
        <is>
          <t>Rapport datagovernance 2026, use case P017: https://projecten.topsectorenergie.nl/projecten/new-energy-garden-xl-businesspark-37466</t>
        </is>
      </c>
      <c r="W56" s="20" t="n">
        <v>52.21</v>
      </c>
      <c r="X56" s="20" t="n">
        <v>5.97</v>
      </c>
      <c r="Y56" s="20" t="inlineStr">
        <is>
          <t>v7</t>
        </is>
      </c>
      <c r="Z56" s="23" t="inlineStr">
        <is>
          <t>nee</t>
        </is>
      </c>
      <c r="AA56" s="20" t="inlineStr">
        <is>
          <t>Twin-instantie</t>
        </is>
      </c>
      <c r="AB56" s="20" t="inlineStr">
        <is>
          <t>Tweeling</t>
        </is>
      </c>
      <c r="AC56" s="20" t="inlineStr">
        <is>
          <t>Beoogd</t>
        </is>
      </c>
      <c r="AD56" s="20" t="inlineStr">
        <is>
          <t>5 Sturende tweeling (beoogd)</t>
        </is>
      </c>
      <c r="AE56" s="20" t="inlineStr">
        <is>
          <t>Elektriciteit</t>
        </is>
      </c>
      <c r="AF56" s="20" t="inlineStr">
        <is>
          <t>Trekker/eigenaar</t>
        </is>
      </c>
      <c r="AG56" s="20" t="inlineStr">
        <is>
          <t>C secundaire bron</t>
        </is>
      </c>
    </row>
    <row r="57" ht="82.05" customHeight="1" s="15">
      <c r="A57" s="20" t="inlineStr">
        <is>
          <t>DT-056</t>
        </is>
      </c>
      <c r="B57" s="20" t="inlineStr">
        <is>
          <t>T</t>
        </is>
      </c>
      <c r="C57" s="20" t="inlineStr">
        <is>
          <t>Twin-instantie (NL)</t>
        </is>
      </c>
      <c r="D57" s="20" t="inlineStr">
        <is>
          <t>LEO-platform (ICR3ATE): digital twins per aansluiting en energiegemeenschap</t>
        </is>
      </c>
      <c r="E57" s="20" t="inlineStr">
        <is>
          <t>Energie</t>
        </is>
      </c>
      <c r="F57" s="20" t="inlineStr">
        <is>
          <t>NL</t>
        </is>
      </c>
      <c r="G57" s="20" t="inlineStr">
        <is>
          <t>NL</t>
        </is>
      </c>
      <c r="H57" s="20" t="inlineStr">
        <is>
          <t>Twin-instantie</t>
        </is>
      </c>
      <c r="I57" s="20" t="inlineStr">
        <is>
          <t>Voorspellen</t>
        </is>
      </c>
      <c r="J57" s="20" t="inlineStr">
        <is>
          <t>Sturing &amp; optimalisatie</t>
        </is>
      </c>
      <c r="K57" s="20" t="inlineStr">
        <is>
          <t>Wijk / bedrijventerrein / hub</t>
        </is>
      </c>
      <c r="L57" s="20" t="inlineStr">
        <is>
          <t>Schaduw</t>
        </is>
      </c>
      <c r="M57" s="20" t="inlineStr">
        <is>
          <t>Elektriciteit (LS)</t>
        </is>
      </c>
      <c r="N57" s="20" t="inlineStr">
        <is>
          <t>2 Pilot/PoC</t>
        </is>
      </c>
      <c r="O57" s="20" t="inlineStr">
        <is>
          <t>SBIR (RVO)</t>
        </is>
      </c>
      <c r="P57" s="20" t="inlineStr">
        <is>
          <t>TSE-INNOV</t>
        </is>
      </c>
      <c r="Q57" s="20" t="n"/>
      <c r="R57" s="20" t="inlineStr">
        <is>
          <t>ICR3ATE Digital Makers Lab</t>
        </is>
      </c>
      <c r="S57" s="20" t="inlineStr">
        <is>
          <t>Trekker</t>
        </is>
      </c>
      <c r="T57" s="20" t="inlineStr">
        <is>
          <t>Afgerond (SBIR netcapaciteit); twins op aansluitings- en communityniveau voorspellen verbruik en opwek</t>
        </is>
      </c>
      <c r="U57" s="20" t="inlineStr">
        <is>
          <t>Twin op het laagste schaalniveau (aansluiting) als bouwsteen voor energiegemeenschappen; vergelijkbaar met TwinERGY (DT-105)</t>
        </is>
      </c>
      <c r="V57" s="20" t="inlineStr">
        <is>
          <t>Rapport datagovernance 2026, use case P023: https://www.rvo.nl/subsidies-financiering/sbir/betere-benutting-van-de-capaciteit-van-elektriciteitsnetwerken/publieke ; https://www.icr3ate.nl/energie-insight/</t>
        </is>
      </c>
      <c r="W57" s="20" t="n">
        <v>52.13</v>
      </c>
      <c r="X57" s="20" t="n">
        <v>5.29</v>
      </c>
      <c r="Y57" s="20" t="inlineStr">
        <is>
          <t>v7</t>
        </is>
      </c>
      <c r="Z57" s="23" t="inlineStr">
        <is>
          <t>nee</t>
        </is>
      </c>
      <c r="AA57" s="20" t="inlineStr">
        <is>
          <t>Twin-instantie</t>
        </is>
      </c>
      <c r="AB57" s="20" t="inlineStr">
        <is>
          <t>Schaduw</t>
        </is>
      </c>
      <c r="AC57" s="20" t="inlineStr">
        <is>
          <t>Gerealiseerd</t>
        </is>
      </c>
      <c r="AD57" s="20" t="inlineStr">
        <is>
          <t>3 Voorspellende schaduw</t>
        </is>
      </c>
      <c r="AE57" s="20" t="inlineStr">
        <is>
          <t>Elektriciteit</t>
        </is>
      </c>
      <c r="AF57" s="20" t="inlineStr">
        <is>
          <t>Trekker/eigenaar</t>
        </is>
      </c>
      <c r="AG57" s="20" t="inlineStr">
        <is>
          <t>C secundaire bron</t>
        </is>
      </c>
    </row>
    <row r="58" ht="108.95" customHeight="1" s="15">
      <c r="A58" s="20" t="inlineStr">
        <is>
          <t>DT-057</t>
        </is>
      </c>
      <c r="B58" s="20" t="inlineStr">
        <is>
          <t>T</t>
        </is>
      </c>
      <c r="C58" s="20" t="inlineStr">
        <is>
          <t>Twin-instantie (NL)</t>
        </is>
      </c>
      <c r="D58" s="20" t="inlineStr">
        <is>
          <t>Joule4Joule: netbewuste wijkenergiesystemen met digital twins</t>
        </is>
      </c>
      <c r="E58" s="20" t="inlineStr">
        <is>
          <t>Energie + GO</t>
        </is>
      </c>
      <c r="F58" s="20" t="inlineStr">
        <is>
          <t>NL</t>
        </is>
      </c>
      <c r="G58" s="20" t="inlineStr">
        <is>
          <t>NL</t>
        </is>
      </c>
      <c r="H58" s="20" t="inlineStr">
        <is>
          <t>Twin-instantie</t>
        </is>
      </c>
      <c r="I58" s="20" t="inlineStr">
        <is>
          <t>Scenario &amp; planning</t>
        </is>
      </c>
      <c r="J58" s="20" t="inlineStr">
        <is>
          <t>Sturing &amp; optimalisatie, Gezamenlijke besluitvorming</t>
        </is>
      </c>
      <c r="K58" s="20" t="inlineStr">
        <is>
          <t>Wijk / bedrijventerrein / hub</t>
        </is>
      </c>
      <c r="L58" s="20" t="inlineStr">
        <is>
          <t>Model/schaduw</t>
        </is>
      </c>
      <c r="M58" s="20" t="inlineStr">
        <is>
          <t>Elektriciteit, warmte, koude</t>
        </is>
      </c>
      <c r="N58" s="20" t="inlineStr">
        <is>
          <t>2 Pilot/PoC</t>
        </is>
      </c>
      <c r="O58" s="20" t="inlineStr">
        <is>
          <t>Systeemintegratie; energiegemeenschappen</t>
        </is>
      </c>
      <c r="P58" s="20" t="inlineStr">
        <is>
          <t>TSE-INNOV</t>
        </is>
      </c>
      <c r="Q58" s="20" t="n"/>
      <c r="R58" s="20" t="inlineStr">
        <is>
          <t>Enexis, Alliander, Energie Samen, Inversable, Invest-NL, TNO, deltaWonen, Tilburg University, Zenmo en pilotlocaties</t>
        </is>
      </c>
      <c r="S58" s="20" t="inlineStr">
        <is>
          <t>Trekker</t>
        </is>
      </c>
      <c r="T58" s="20" t="inlineStr">
        <is>
          <t>Lopend; digital twins, wijkenergietools en open-source API's in pilots</t>
        </is>
      </c>
      <c r="U58" s="20" t="inlineStr">
        <is>
          <t>Multi-commodity wijktwin met netbeheerders, corporatie en energiegemeenschappen: de brug energie-GO op wijkniveau</t>
        </is>
      </c>
      <c r="V58" s="20" t="inlineStr">
        <is>
          <t>Rapport datagovernance 2026, use case P073: https://www.joule4joule.nl/ ; https://www.joule4joule.nl/over-joule4joule/ ; https://www.enexis.nl/over-ons/wat-doen-wij/onze-innovaties/joule4joule ; https://projecten.topsectorenergie.nl/projecten/joule4joule-39111</t>
        </is>
      </c>
      <c r="W58" s="20" t="n">
        <v>51.69</v>
      </c>
      <c r="X58" s="20" t="n">
        <v>5.3</v>
      </c>
      <c r="Y58" s="20" t="inlineStr">
        <is>
          <t>v7</t>
        </is>
      </c>
      <c r="Z58" s="23" t="inlineStr">
        <is>
          <t>nee</t>
        </is>
      </c>
      <c r="AA58" s="20" t="inlineStr">
        <is>
          <t>Twin-instantie</t>
        </is>
      </c>
      <c r="AB58" s="20" t="inlineStr">
        <is>
          <t>Model of schaduw (onzeker)</t>
        </is>
      </c>
      <c r="AC58" s="20" t="inlineStr">
        <is>
          <t>Gerealiseerd</t>
        </is>
      </c>
      <c r="AD58" s="20" t="inlineStr">
        <is>
          <t>4 Scenario-tweeling</t>
        </is>
      </c>
      <c r="AE58" s="20" t="inlineStr">
        <is>
          <t>Elektriciteit; Warmte/koude (multi-commodity)</t>
        </is>
      </c>
      <c r="AF58" s="20" t="inlineStr">
        <is>
          <t>Trekker/eigenaar</t>
        </is>
      </c>
      <c r="AG58" s="20" t="inlineStr">
        <is>
          <t>C secundaire bron</t>
        </is>
      </c>
    </row>
    <row r="59" ht="108.95" customHeight="1" s="15">
      <c r="A59" s="20" t="inlineStr">
        <is>
          <t>DT-058</t>
        </is>
      </c>
      <c r="B59" s="20" t="inlineStr">
        <is>
          <t>T</t>
        </is>
      </c>
      <c r="C59" s="20" t="inlineStr">
        <is>
          <t>Twin-instantie (NL)</t>
        </is>
      </c>
      <c r="D59" s="20" t="inlineStr">
        <is>
          <t>TROEF: Internet-of-Energy-platform met digital twins van gebouwen (MOOI)</t>
        </is>
      </c>
      <c r="E59" s="20" t="inlineStr">
        <is>
          <t>Energie + GO</t>
        </is>
      </c>
      <c r="F59" s="20" t="inlineStr">
        <is>
          <t>NL</t>
        </is>
      </c>
      <c r="G59" s="20" t="inlineStr">
        <is>
          <t>NL</t>
        </is>
      </c>
      <c r="H59" s="20" t="inlineStr">
        <is>
          <t>Twin-instantie</t>
        </is>
      </c>
      <c r="I59" s="20" t="inlineStr">
        <is>
          <t>Sturing &amp; optimalisatie</t>
        </is>
      </c>
      <c r="J59" s="20" t="inlineStr">
        <is>
          <t>Inzicht &amp; monitoring</t>
        </is>
      </c>
      <c r="K59" s="20" t="inlineStr">
        <is>
          <t>Gebouw / site</t>
        </is>
      </c>
      <c r="L59" s="20" t="inlineStr">
        <is>
          <t>Schaduw</t>
        </is>
      </c>
      <c r="M59" s="20" t="inlineStr">
        <is>
          <t>Elektriciteit</t>
        </is>
      </c>
      <c r="N59" s="20" t="inlineStr">
        <is>
          <t>2 Pilot/PoC</t>
        </is>
      </c>
      <c r="O59" s="20" t="inlineStr">
        <is>
          <t>MOOI</t>
        </is>
      </c>
      <c r="P59" s="20" t="inlineStr">
        <is>
          <t>TSE-INNOV</t>
        </is>
      </c>
      <c r="Q59" s="20" t="n"/>
      <c r="R59" s="20" t="inlineStr">
        <is>
          <t>BAM, AM, Entrnce, Hogeschool Utrecht, KPN, NEN, OrangeNXT, Stedin, TU Eindhoven, Tymlez</t>
        </is>
      </c>
      <c r="S59" s="20" t="inlineStr">
        <is>
          <t>Trekker</t>
        </is>
      </c>
      <c r="T59" s="20" t="inlineStr">
        <is>
          <t>Afgerond (MOOI); twins en dashboards voor CO2, flexwaarde en sturing van gebouwinstallaties</t>
        </is>
      </c>
      <c r="U59" s="20" t="inlineStr">
        <is>
          <t>Gebouwtwins gekoppeld aan energiegemeenschappen; NEN als partner kan standaardisatie borgen</t>
        </is>
      </c>
      <c r="V59" s="20" t="inlineStr">
        <is>
          <t>Rapport datagovernance 2026, use case P014: https://projecten.topsectorenergie.nl/projecten/troef-transparant-reduceren-van-co2-en-optimaliseren-van-energie-in-een-ecosysteem-van-flexibiliteit-de-troef-naar-versnelling-van-de-energietransitie-en-lokale-energiegemeenschappen-35404</t>
        </is>
      </c>
      <c r="W59" s="20" t="n">
        <v>52.09</v>
      </c>
      <c r="X59" s="20" t="n">
        <v>5.12</v>
      </c>
      <c r="Y59" s="20" t="inlineStr">
        <is>
          <t>v7</t>
        </is>
      </c>
      <c r="Z59" s="23" t="inlineStr">
        <is>
          <t>nee</t>
        </is>
      </c>
      <c r="AA59" s="20" t="inlineStr">
        <is>
          <t>Twin-instantie</t>
        </is>
      </c>
      <c r="AB59" s="20" t="inlineStr">
        <is>
          <t>Schaduw</t>
        </is>
      </c>
      <c r="AC59" s="20" t="inlineStr">
        <is>
          <t>Gerealiseerd</t>
        </is>
      </c>
      <c r="AD59" s="20" t="inlineStr">
        <is>
          <t>2 Digitale schaduw</t>
        </is>
      </c>
      <c r="AE59" s="20" t="inlineStr">
        <is>
          <t>Elektriciteit</t>
        </is>
      </c>
      <c r="AF59" s="20" t="inlineStr">
        <is>
          <t>Trekker/eigenaar</t>
        </is>
      </c>
      <c r="AG59" s="20" t="inlineStr">
        <is>
          <t>C secundaire bron</t>
        </is>
      </c>
    </row>
    <row r="60" ht="229.85" customHeight="1" s="15">
      <c r="A60" s="20" t="inlineStr">
        <is>
          <t>DT-059</t>
        </is>
      </c>
      <c r="B60" s="20" t="inlineStr">
        <is>
          <t>T</t>
        </is>
      </c>
      <c r="C60" s="20" t="inlineStr">
        <is>
          <t>Twin-instantie (NL)</t>
        </is>
      </c>
      <c r="D60" s="20" t="inlineStr">
        <is>
          <t>SYMPHONIE: meerschalige multi-commodity energiehubs (MOOI)</t>
        </is>
      </c>
      <c r="E60" s="20" t="inlineStr">
        <is>
          <t>Energie</t>
        </is>
      </c>
      <c r="F60" s="20" t="inlineStr">
        <is>
          <t>NL</t>
        </is>
      </c>
      <c r="G60" s="20" t="inlineStr">
        <is>
          <t>NL</t>
        </is>
      </c>
      <c r="H60" s="20" t="inlineStr">
        <is>
          <t>Twin-instantie</t>
        </is>
      </c>
      <c r="I60" s="20" t="inlineStr">
        <is>
          <t>Scenario &amp; planning</t>
        </is>
      </c>
      <c r="J60" s="20" t="inlineStr">
        <is>
          <t>Sturing &amp; optimalisatie</t>
        </is>
      </c>
      <c r="K60" s="20" t="inlineStr">
        <is>
          <t>Wijk / bedrijventerrein / hub</t>
        </is>
      </c>
      <c r="L60" s="20" t="inlineStr">
        <is>
          <t>Model/schaduw</t>
        </is>
      </c>
      <c r="M60" s="20" t="inlineStr">
        <is>
          <t>Multi-commodity</t>
        </is>
      </c>
      <c r="N60" s="20" t="inlineStr">
        <is>
          <t>2 Pilot/PoC</t>
        </is>
      </c>
      <c r="O60" s="20" t="inlineStr">
        <is>
          <t>MOOI; energiehubs</t>
        </is>
      </c>
      <c r="P60" s="20" t="inlineStr">
        <is>
          <t>TSE-INNOV</t>
        </is>
      </c>
      <c r="Q60" s="20" t="n"/>
      <c r="R60" s="20" t="inlineStr">
        <is>
          <t>Hanzehogeschool Groningen (trekker), TNO, TU/e, Hogeschool Utrecht, TenneT, provincie Utrecht, gemeente Veenendaal, Witteveen+Bos, bedrijven en coöperaties</t>
        </is>
      </c>
      <c r="S60" s="20" t="inlineStr">
        <is>
          <t>Trekker</t>
        </is>
      </c>
      <c r="T60" s="20" t="inlineStr">
        <is>
          <t>Lopend (MOOI); ontwerptools, simulatiemodellen en sturingsalgoritmen in vier praktijkgebieden</t>
        </is>
      </c>
      <c r="U60" s="20" t="inlineStr">
        <is>
          <t>Ontwerpen, simuleren en sturen over meerdere netvlakken: opvolger-achtig van SynergyS met TenneT aan boord</t>
        </is>
      </c>
      <c r="V60" s="20" t="inlineStr">
        <is>
          <t>Rapport datagovernance 2026, use case P076: https://projecten.topsectorenergie.nl/projecten/systeemintegratie-van-meerschalige-energiehubs-voor-een-opschaalbare-netbewuste-en-interoperabele-energievoorziening-40236 ; https://www.hanze.nl/nl/onderzoeken/centers/entrance-centre-of-expertise-energy/projecten/symphonie ; https://www.entrance.eu/kennis/projecten/symphonie/ ; https://www.entrance.eu/nieuws/landelijke-samenwerking-van-start-voor-ontwikkeling-governancemodel-regionale-energiehubs/ ; https://www.rvo.nl/onderwerpen/mooi/systeemintegratie/welke-projecten-subsidie</t>
        </is>
      </c>
      <c r="W60" s="20" t="n">
        <v>52.03</v>
      </c>
      <c r="X60" s="20" t="n">
        <v>5.56</v>
      </c>
      <c r="Y60" s="20" t="inlineStr">
        <is>
          <t>v7</t>
        </is>
      </c>
      <c r="Z60" s="23" t="inlineStr">
        <is>
          <t>nee</t>
        </is>
      </c>
      <c r="AA60" s="20" t="inlineStr">
        <is>
          <t>Twin-instantie</t>
        </is>
      </c>
      <c r="AB60" s="20" t="inlineStr">
        <is>
          <t>Model of schaduw (onzeker)</t>
        </is>
      </c>
      <c r="AC60" s="20" t="inlineStr">
        <is>
          <t>Gerealiseerd</t>
        </is>
      </c>
      <c r="AD60" s="20" t="inlineStr">
        <is>
          <t>4 Scenario-tweeling</t>
        </is>
      </c>
      <c r="AE60" s="20" t="inlineStr">
        <is>
          <t>Multi-commodity (dragers niet gespecificeerd)</t>
        </is>
      </c>
      <c r="AF60" s="20" t="inlineStr">
        <is>
          <t>Trekker/eigenaar</t>
        </is>
      </c>
      <c r="AG60" s="20" t="inlineStr">
        <is>
          <t>C secundaire bron</t>
        </is>
      </c>
    </row>
    <row r="61" ht="135.8" customHeight="1" s="15">
      <c r="A61" s="20" t="inlineStr">
        <is>
          <t>DT-060</t>
        </is>
      </c>
      <c r="B61" s="20" t="inlineStr">
        <is>
          <t>T</t>
        </is>
      </c>
      <c r="C61" s="20" t="inlineStr">
        <is>
          <t>Twin-instantie (NL)</t>
        </is>
      </c>
      <c r="D61" s="20" t="inlineStr">
        <is>
          <t>BACH: Brainport Approach for a Congestion-free Holland (MOOI)</t>
        </is>
      </c>
      <c r="E61" s="20" t="inlineStr">
        <is>
          <t>Energie</t>
        </is>
      </c>
      <c r="F61" s="20" t="inlineStr">
        <is>
          <t>NL</t>
        </is>
      </c>
      <c r="G61" s="20" t="inlineStr">
        <is>
          <t>NL</t>
        </is>
      </c>
      <c r="H61" s="20" t="inlineStr">
        <is>
          <t>Twin-instantie</t>
        </is>
      </c>
      <c r="I61" s="20" t="inlineStr">
        <is>
          <t>Scenario &amp; planning</t>
        </is>
      </c>
      <c r="J61" s="20" t="inlineStr">
        <is>
          <t>Sturing &amp; optimalisatie</t>
        </is>
      </c>
      <c r="K61" s="20" t="inlineStr">
        <is>
          <t>Gemeente / regio</t>
        </is>
      </c>
      <c r="L61" s="20" t="inlineStr">
        <is>
          <t>Model</t>
        </is>
      </c>
      <c r="M61" s="20" t="inlineStr">
        <is>
          <t>Multi-commodity</t>
        </is>
      </c>
      <c r="N61" s="20" t="inlineStr">
        <is>
          <t>1 Verkenning</t>
        </is>
      </c>
      <c r="O61" s="20" t="inlineStr">
        <is>
          <t>MOOI</t>
        </is>
      </c>
      <c r="P61" s="20" t="inlineStr">
        <is>
          <t>TSE-INNOV</t>
        </is>
      </c>
      <c r="Q61" s="20" t="n"/>
      <c r="R61" s="20" t="inlineStr">
        <is>
          <t>TU Eindhoven, Alliander, Enexis, Stedin, Ennatuurlijk, Phase to Phase, DENS, Power to Power, RIFT, Technolution, Zympler</t>
        </is>
      </c>
      <c r="S61" s="20" t="inlineStr">
        <is>
          <t>Trekker</t>
        </is>
      </c>
      <c r="T61" s="20" t="inlineStr">
        <is>
          <t>Kick-off april 2026; impactanalyse, open multi-commodity EMS en validatie</t>
        </is>
      </c>
      <c r="U61" s="20" t="inlineStr">
        <is>
          <t>Netbeheerders bepalen met wachtrij- en netdata waar opslag en conversie capaciteit maken: planningstwin voor congestie</t>
        </is>
      </c>
      <c r="V61" s="20" t="inlineStr">
        <is>
          <t>Rapport datagovernance 2026, use case P074: https://projecten.topsectorenergie.nl/projecten/brainport-approach-for-a-congestion-free-holland-40069 ; https://www.tue.nl/en/news-and-events/news-overview/27-01-2026-increasing-the-effective-capacity-of-the-energy-grid ; https://www.tue.nl/nieuws-en-evenementen/nieuwsoverzicht/16-04-2026-kick-off-bach-project-officially-underway</t>
        </is>
      </c>
      <c r="W61" s="20" t="n">
        <v>51.44</v>
      </c>
      <c r="X61" s="20" t="n">
        <v>5.47</v>
      </c>
      <c r="Y61" s="20" t="inlineStr">
        <is>
          <t>v7</t>
        </is>
      </c>
      <c r="Z61" s="23" t="inlineStr">
        <is>
          <t>nee</t>
        </is>
      </c>
      <c r="AA61" s="20" t="inlineStr">
        <is>
          <t>Twin-instantie</t>
        </is>
      </c>
      <c r="AB61" s="20" t="inlineStr">
        <is>
          <t>Model</t>
        </is>
      </c>
      <c r="AC61" s="20" t="inlineStr">
        <is>
          <t>Gerealiseerd</t>
        </is>
      </c>
      <c r="AD61" s="20" t="inlineStr">
        <is>
          <t>1 Digitaal model</t>
        </is>
      </c>
      <c r="AE61" s="20" t="inlineStr">
        <is>
          <t>Multi-commodity (dragers niet gespecificeerd)</t>
        </is>
      </c>
      <c r="AF61" s="20" t="inlineStr">
        <is>
          <t>Trekker/eigenaar</t>
        </is>
      </c>
      <c r="AG61" s="20" t="inlineStr">
        <is>
          <t>C secundaire bron</t>
        </is>
      </c>
    </row>
    <row r="62" ht="55.2" customHeight="1" s="15">
      <c r="A62" s="20" t="inlineStr">
        <is>
          <t>DT-061</t>
        </is>
      </c>
      <c r="B62" s="20" t="inlineStr">
        <is>
          <t>T</t>
        </is>
      </c>
      <c r="C62" s="20" t="inlineStr">
        <is>
          <t>Twin-instantie (NL)</t>
        </is>
      </c>
      <c r="D62" s="20" t="inlineStr">
        <is>
          <t>Warmtebedrijf Rotterdam: realtime monitoring warmtedistributienet</t>
        </is>
      </c>
      <c r="E62" s="20" t="inlineStr">
        <is>
          <t>Energie</t>
        </is>
      </c>
      <c r="F62" s="20" t="inlineStr">
        <is>
          <t>NL</t>
        </is>
      </c>
      <c r="G62" s="20" t="inlineStr">
        <is>
          <t>NL</t>
        </is>
      </c>
      <c r="H62" s="20" t="inlineStr">
        <is>
          <t>Twin-instantie</t>
        </is>
      </c>
      <c r="I62" s="20" t="inlineStr">
        <is>
          <t>Inzicht &amp; monitoring</t>
        </is>
      </c>
      <c r="J62" s="20" t="inlineStr">
        <is>
          <t>Voorspellen</t>
        </is>
      </c>
      <c r="K62" s="20" t="inlineStr">
        <is>
          <t>Gemeente / regio</t>
        </is>
      </c>
      <c r="L62" s="20" t="inlineStr">
        <is>
          <t>Schaduw</t>
        </is>
      </c>
      <c r="M62" s="20" t="inlineStr">
        <is>
          <t>Warmte</t>
        </is>
      </c>
      <c r="N62" s="20" t="inlineStr">
        <is>
          <t>4 Operationeel</t>
        </is>
      </c>
      <c r="O62" s="20" t="inlineStr">
        <is>
          <t>-</t>
        </is>
      </c>
      <c r="P62" s="20" t="inlineStr">
        <is>
          <t>-</t>
        </is>
      </c>
      <c r="Q62" s="20" t="n"/>
      <c r="R62" s="20" t="inlineStr">
        <is>
          <t>Warmtebedrijf Rotterdam, Withthegrid</t>
        </is>
      </c>
      <c r="S62" s="20" t="inlineStr">
        <is>
          <t>Trekker</t>
        </is>
      </c>
      <c r="T62" s="20" t="inlineStr">
        <is>
          <t>Operationeel; IoT-sensoren en Asset Monitoring Platform (vergelijkbaar: Gasunie, 11.000 assets kathodische bescherming)</t>
        </is>
      </c>
      <c r="U62" s="20" t="inlineStr">
        <is>
          <t>Digitale schaduw van een warmtenet; aanvulling op Gradyent (DT-042)</t>
        </is>
      </c>
      <c r="V62" s="20" t="inlineStr">
        <is>
          <t>Rapport datagovernance 2026, use case P054: https://withthegrid.com/monitoring-distribution-grid-in-real-time-at-warmtebedrijf-rotterdam/</t>
        </is>
      </c>
      <c r="W62" s="20" t="n">
        <v>51.92</v>
      </c>
      <c r="X62" s="20" t="n">
        <v>4.48</v>
      </c>
      <c r="Y62" s="20" t="inlineStr">
        <is>
          <t>v7</t>
        </is>
      </c>
      <c r="Z62" s="23" t="inlineStr">
        <is>
          <t>nee</t>
        </is>
      </c>
      <c r="AA62" s="20" t="inlineStr">
        <is>
          <t>Twin-instantie</t>
        </is>
      </c>
      <c r="AB62" s="20" t="inlineStr">
        <is>
          <t>Schaduw</t>
        </is>
      </c>
      <c r="AC62" s="20" t="inlineStr">
        <is>
          <t>Gerealiseerd</t>
        </is>
      </c>
      <c r="AD62" s="20" t="inlineStr">
        <is>
          <t>3 Voorspellende schaduw</t>
        </is>
      </c>
      <c r="AE62" s="20" t="inlineStr">
        <is>
          <t>Warmte/koude</t>
        </is>
      </c>
      <c r="AF62" s="20" t="inlineStr">
        <is>
          <t>Trekker/eigenaar</t>
        </is>
      </c>
      <c r="AG62" s="20" t="inlineStr">
        <is>
          <t>C secundaire bron</t>
        </is>
      </c>
    </row>
    <row r="63" ht="41.75" customHeight="1" s="15">
      <c r="A63" s="20" t="inlineStr">
        <is>
          <t>DT-062</t>
        </is>
      </c>
      <c r="B63" s="20" t="inlineStr">
        <is>
          <t>T</t>
        </is>
      </c>
      <c r="C63" s="20" t="inlineStr">
        <is>
          <t>Twin-instantie (NL)</t>
        </is>
      </c>
      <c r="D63" s="20" t="inlineStr">
        <is>
          <t>Starlings: virtuele uitwisseling van energie en utilities in het havencluster Rotterdam</t>
        </is>
      </c>
      <c r="E63" s="20" t="inlineStr">
        <is>
          <t>Energie</t>
        </is>
      </c>
      <c r="F63" s="20" t="inlineStr">
        <is>
          <t>NL</t>
        </is>
      </c>
      <c r="G63" s="20" t="inlineStr">
        <is>
          <t>NL</t>
        </is>
      </c>
      <c r="H63" s="20" t="inlineStr">
        <is>
          <t>Twin-instantie</t>
        </is>
      </c>
      <c r="I63" s="20" t="inlineStr">
        <is>
          <t>Sturing &amp; optimalisatie</t>
        </is>
      </c>
      <c r="J63" s="20" t="inlineStr">
        <is>
          <t>Inzicht &amp; monitoring, Gezamenlijke besluitvorming</t>
        </is>
      </c>
      <c r="K63" s="20" t="inlineStr">
        <is>
          <t>Wijk / bedrijventerrein / hub</t>
        </is>
      </c>
      <c r="L63" s="20" t="inlineStr">
        <is>
          <t>Tweeling (beoogd)</t>
        </is>
      </c>
      <c r="M63" s="20" t="inlineStr">
        <is>
          <t>Multi-commodity</t>
        </is>
      </c>
      <c r="N63" s="20" t="inlineStr">
        <is>
          <t>2 Pilot/PoC</t>
        </is>
      </c>
      <c r="O63" s="20" t="inlineStr">
        <is>
          <t>ADE</t>
        </is>
      </c>
      <c r="P63" s="20" t="inlineStr">
        <is>
          <t>ADE</t>
        </is>
      </c>
      <c r="Q63" s="20" t="n"/>
      <c r="R63" s="20" t="inlineStr">
        <is>
          <t>Havenbedrijf Rotterdam, Yokogawa/KBC, Distro Energy; tot zes bedrijven en twee netbeheerders</t>
        </is>
      </c>
      <c r="S63" s="20" t="inlineStr">
        <is>
          <t>Trekker</t>
        </is>
      </c>
      <c r="T63" s="20" t="inlineStr">
        <is>
          <t>Pilot ca. EUR 2 mln, een jaar; eerste resultaten voorzien 2025; status te verifiëren</t>
        </is>
      </c>
      <c r="U63" s="20" t="inlineStr">
        <is>
          <t>Tweede NL multi-commodity-initiatief op clusterschaal (stoom, warmte, elektriciteit) naast ORTESE; mogelijk complementair aan VES (DT-029)</t>
        </is>
      </c>
      <c r="V63" s="20" t="inlineStr">
        <is>
          <t>Actieagenda Digitalisering Energiesysteem (praktijkvoorbeeld); https://www.portofrotterdam.com/</t>
        </is>
      </c>
      <c r="W63" s="20" t="n">
        <v>51.95</v>
      </c>
      <c r="X63" s="20" t="n">
        <v>4.14</v>
      </c>
      <c r="Y63" s="20" t="inlineStr">
        <is>
          <t>v12</t>
        </is>
      </c>
      <c r="Z63" s="23" t="inlineStr">
        <is>
          <t>nee</t>
        </is>
      </c>
      <c r="AA63" s="20" t="inlineStr">
        <is>
          <t>Twin-instantie</t>
        </is>
      </c>
      <c r="AB63" s="20" t="inlineStr">
        <is>
          <t>Tweeling</t>
        </is>
      </c>
      <c r="AC63" s="20" t="inlineStr">
        <is>
          <t>Beoogd</t>
        </is>
      </c>
      <c r="AD63" s="20" t="inlineStr">
        <is>
          <t>5 Sturende tweeling (beoogd)</t>
        </is>
      </c>
      <c r="AE63" s="20" t="inlineStr">
        <is>
          <t>Elektriciteit; Warmte/koude (multi-commodity)</t>
        </is>
      </c>
      <c r="AF63" s="20" t="inlineStr">
        <is>
          <t>Trekker/eigenaar</t>
        </is>
      </c>
      <c r="AG63" s="20" t="inlineStr">
        <is>
          <t>C secundaire bron</t>
        </is>
      </c>
    </row>
    <row r="64" ht="55.2" customHeight="1" s="15">
      <c r="A64" s="20" t="inlineStr">
        <is>
          <t>DT-063</t>
        </is>
      </c>
      <c r="B64" s="20" t="inlineStr">
        <is>
          <t>B</t>
        </is>
      </c>
      <c r="C64" s="20" t="inlineStr">
        <is>
          <t>Bouwsteen of data-infrastructuur (NL)</t>
        </is>
      </c>
      <c r="D64" s="20" t="inlineStr">
        <is>
          <t>ESDL + ESSIM / MapEditor</t>
        </is>
      </c>
      <c r="E64" s="20" t="inlineStr">
        <is>
          <t>Energie</t>
        </is>
      </c>
      <c r="F64" s="20" t="inlineStr">
        <is>
          <t>NL</t>
        </is>
      </c>
      <c r="G64" s="20" t="inlineStr">
        <is>
          <t>NL</t>
        </is>
      </c>
      <c r="H64" s="20" t="inlineStr">
        <is>
          <t>Bouwsteen</t>
        </is>
      </c>
      <c r="I64" s="20" t="inlineStr">
        <is>
          <t>Scenario &amp; planning</t>
        </is>
      </c>
      <c r="J64" s="20" t="inlineStr">
        <is>
          <t>Ontwerp &amp; engineering</t>
        </is>
      </c>
      <c r="K64" s="20" t="inlineStr">
        <is>
          <t>Gemeente / regio</t>
        </is>
      </c>
      <c r="L64" s="20" t="inlineStr">
        <is>
          <t>n.v.t.</t>
        </is>
      </c>
      <c r="M64" s="20" t="inlineStr">
        <is>
          <t>Alle</t>
        </is>
      </c>
      <c r="N64" s="20" t="inlineStr">
        <is>
          <t>4 Operationeel</t>
        </is>
      </c>
      <c r="O64" s="20" t="inlineStr">
        <is>
          <t>NEDRA (modelbouwblok)</t>
        </is>
      </c>
      <c r="P64" s="20" t="inlineStr">
        <is>
          <t>NEDRA</t>
        </is>
      </c>
      <c r="Q64" s="20" t="inlineStr">
        <is>
          <t>BS-ESDL</t>
        </is>
      </c>
      <c r="R64" s="20" t="inlineStr">
        <is>
          <t>TNO, Quintel, community</t>
        </is>
      </c>
      <c r="S64" s="20" t="inlineStr">
        <is>
          <t>Beheerder</t>
        </is>
      </c>
      <c r="T64" s="20" t="inlineStr">
        <is>
          <t>Actief, open source</t>
        </is>
      </c>
      <c r="U64" s="20" t="inlineStr">
        <is>
          <t>Koppeltaal energiesysteemmodellen</t>
        </is>
      </c>
      <c r="V64" s="20" t="inlineStr">
        <is>
          <t>https://www.esdl.nl/en/</t>
        </is>
      </c>
      <c r="W64" s="20" t="n">
        <v>52.08</v>
      </c>
      <c r="X64" s="20" t="n">
        <v>4.31</v>
      </c>
      <c r="Y64" s="20" t="inlineStr">
        <is>
          <t>v4 of eerder</t>
        </is>
      </c>
      <c r="Z64" s="23" t="inlineStr">
        <is>
          <t>nee</t>
        </is>
      </c>
      <c r="AA64" s="20" t="inlineStr">
        <is>
          <t>Stelsel (bouwsteen)</t>
        </is>
      </c>
      <c r="AB64" s="20" t="inlineStr">
        <is>
          <t>n.v.t.</t>
        </is>
      </c>
      <c r="AC64" s="20" t="inlineStr">
        <is>
          <t>n.v.t.</t>
        </is>
      </c>
      <c r="AD64" s="20" t="inlineStr">
        <is>
          <t>-</t>
        </is>
      </c>
      <c r="AE64" s="20" t="inlineStr">
        <is>
          <t>Elektriciteit; Gas; Waterstof; Warmte/koude (multi-commodity)</t>
        </is>
      </c>
      <c r="AF64" s="20" t="inlineStr">
        <is>
          <t>Trekker/eigenaar</t>
        </is>
      </c>
      <c r="AG64" s="20" t="inlineStr">
        <is>
          <t>B primaire bron</t>
        </is>
      </c>
    </row>
    <row r="65" ht="55.2" customHeight="1" s="15">
      <c r="A65" s="20" t="inlineStr">
        <is>
          <t>DT-064</t>
        </is>
      </c>
      <c r="B65" s="20" t="inlineStr">
        <is>
          <t>B</t>
        </is>
      </c>
      <c r="C65" s="20" t="inlineStr">
        <is>
          <t>Bouwsteen of data-infrastructuur (NL)</t>
        </is>
      </c>
      <c r="D65" s="20" t="inlineStr">
        <is>
          <t>Energy Transition Model (ETM)</t>
        </is>
      </c>
      <c r="E65" s="20" t="inlineStr">
        <is>
          <t>Energie</t>
        </is>
      </c>
      <c r="F65" s="20" t="inlineStr">
        <is>
          <t>NL</t>
        </is>
      </c>
      <c r="G65" s="20" t="inlineStr">
        <is>
          <t>NL</t>
        </is>
      </c>
      <c r="H65" s="20" t="inlineStr">
        <is>
          <t>Bouwsteen</t>
        </is>
      </c>
      <c r="I65" s="20" t="inlineStr">
        <is>
          <t>Scenario &amp; planning</t>
        </is>
      </c>
      <c r="J65" s="20" t="n"/>
      <c r="K65" s="20" t="inlineStr">
        <is>
          <t>Gemeente / regio</t>
        </is>
      </c>
      <c r="L65" s="20" t="inlineStr">
        <is>
          <t>Model</t>
        </is>
      </c>
      <c r="M65" s="20" t="inlineStr">
        <is>
          <t>Alle</t>
        </is>
      </c>
      <c r="N65" s="20" t="inlineStr">
        <is>
          <t>5 Opgeschaald</t>
        </is>
      </c>
      <c r="O65" s="20" t="inlineStr">
        <is>
          <t>NPE; RES</t>
        </is>
      </c>
      <c r="P65" s="20" t="inlineStr">
        <is>
          <t>NPE</t>
        </is>
      </c>
      <c r="Q65" s="20" t="inlineStr">
        <is>
          <t>BS-ETM</t>
        </is>
      </c>
      <c r="R65" s="20" t="inlineStr">
        <is>
          <t>Quintel</t>
        </is>
      </c>
      <c r="S65" s="20" t="inlineStr">
        <is>
          <t>Beheerder</t>
        </is>
      </c>
      <c r="T65" s="20" t="inlineStr">
        <is>
          <t>Operationeel</t>
        </is>
      </c>
      <c r="U65" s="20" t="inlineStr">
        <is>
          <t>Rekenmodel in twins (o.a. ORTESE)</t>
        </is>
      </c>
      <c r="V65" s="20" t="inlineStr">
        <is>
          <t>https://energytransitionmodel.com/</t>
        </is>
      </c>
      <c r="W65" s="20" t="n">
        <v>52.37</v>
      </c>
      <c r="X65" s="20" t="n">
        <v>4.9</v>
      </c>
      <c r="Y65" s="20" t="inlineStr">
        <is>
          <t>v4 of eerder</t>
        </is>
      </c>
      <c r="Z65" s="23" t="inlineStr">
        <is>
          <t>nee</t>
        </is>
      </c>
      <c r="AA65" s="20" t="inlineStr">
        <is>
          <t>Stelsel (bouwsteen)</t>
        </is>
      </c>
      <c r="AB65" s="20" t="inlineStr">
        <is>
          <t>Model</t>
        </is>
      </c>
      <c r="AC65" s="20" t="inlineStr">
        <is>
          <t>Gerealiseerd</t>
        </is>
      </c>
      <c r="AD65" s="20" t="inlineStr">
        <is>
          <t>1 Digitaal model</t>
        </is>
      </c>
      <c r="AE65" s="20" t="inlineStr">
        <is>
          <t>Elektriciteit; Gas; Waterstof; Warmte/koude (multi-commodity)</t>
        </is>
      </c>
      <c r="AF65" s="20" t="inlineStr">
        <is>
          <t>Trekker/eigenaar</t>
        </is>
      </c>
      <c r="AG65" s="20" t="inlineStr">
        <is>
          <t>B primaire bron</t>
        </is>
      </c>
    </row>
    <row r="66" ht="28.35" customHeight="1" s="15">
      <c r="A66" s="20" t="inlineStr">
        <is>
          <t>DT-065</t>
        </is>
      </c>
      <c r="B66" s="20" t="inlineStr">
        <is>
          <t>B</t>
        </is>
      </c>
      <c r="C66" s="20" t="inlineStr">
        <is>
          <t>Bouwsteen of data-infrastructuur (NL)</t>
        </is>
      </c>
      <c r="D66" s="20" t="inlineStr">
        <is>
          <t>CIM/CGMES en NBility</t>
        </is>
      </c>
      <c r="E66" s="20" t="inlineStr">
        <is>
          <t>Energie</t>
        </is>
      </c>
      <c r="F66" s="20" t="inlineStr">
        <is>
          <t>NL</t>
        </is>
      </c>
      <c r="G66" s="20" t="inlineStr">
        <is>
          <t>NL</t>
        </is>
      </c>
      <c r="H66" s="20" t="inlineStr">
        <is>
          <t>Bouwsteen</t>
        </is>
      </c>
      <c r="I66" s="20" t="inlineStr">
        <is>
          <t>Inzicht &amp; monitoring</t>
        </is>
      </c>
      <c r="J66" s="20" t="inlineStr">
        <is>
          <t>Ontwerp &amp; engineering</t>
        </is>
      </c>
      <c r="K66" s="20" t="inlineStr">
        <is>
          <t>Net / nationaal systeem</t>
        </is>
      </c>
      <c r="L66" s="20" t="inlineStr">
        <is>
          <t>n.v.t.</t>
        </is>
      </c>
      <c r="M66" s="20" t="inlineStr">
        <is>
          <t>Elektriciteit</t>
        </is>
      </c>
      <c r="N66" s="20" t="inlineStr">
        <is>
          <t>4 Operationeel</t>
        </is>
      </c>
      <c r="O66" s="20" t="inlineStr">
        <is>
          <t>NEDRA</t>
        </is>
      </c>
      <c r="P66" s="20" t="inlineStr">
        <is>
          <t>NEDRA;ENTSOE</t>
        </is>
      </c>
      <c r="Q66" s="20" t="inlineStr">
        <is>
          <t>BS-CIM;BS-NBILITY</t>
        </is>
      </c>
      <c r="R66" s="20" t="inlineStr">
        <is>
          <t>IEC/ENTSO-E; Netbeheer Nederland</t>
        </is>
      </c>
      <c r="S66" s="20" t="inlineStr">
        <is>
          <t>Beheerder (NBility)</t>
        </is>
      </c>
      <c r="T66" s="20" t="inlineStr">
        <is>
          <t>In beheer</t>
        </is>
      </c>
      <c r="U66" s="20" t="inlineStr">
        <is>
          <t>Netmodel- en bedrijfsobjecttaal</t>
        </is>
      </c>
      <c r="V66" s="20" t="inlineStr">
        <is>
          <t>https://www.entsoe.eu/data/cim/cim-for-grid-models-exchange/</t>
        </is>
      </c>
      <c r="W66" s="20" t="n">
        <v>52.08</v>
      </c>
      <c r="X66" s="20" t="n">
        <v>4.31</v>
      </c>
      <c r="Y66" s="20" t="inlineStr">
        <is>
          <t>v4 of eerder</t>
        </is>
      </c>
      <c r="Z66" s="23" t="inlineStr">
        <is>
          <t>nee</t>
        </is>
      </c>
      <c r="AA66" s="20" t="inlineStr">
        <is>
          <t>Stelsel (bouwsteen)</t>
        </is>
      </c>
      <c r="AB66" s="20" t="inlineStr">
        <is>
          <t>n.v.t.</t>
        </is>
      </c>
      <c r="AC66" s="20" t="inlineStr">
        <is>
          <t>n.v.t.</t>
        </is>
      </c>
      <c r="AD66" s="20" t="inlineStr">
        <is>
          <t>-</t>
        </is>
      </c>
      <c r="AE66" s="20" t="inlineStr">
        <is>
          <t>Elektriciteit</t>
        </is>
      </c>
      <c r="AF66" s="20" t="inlineStr">
        <is>
          <t>Trekker/eigenaar</t>
        </is>
      </c>
      <c r="AG66" s="20" t="inlineStr">
        <is>
          <t>B primaire bron</t>
        </is>
      </c>
    </row>
    <row r="67" ht="55.2" customHeight="1" s="15">
      <c r="A67" s="20" t="inlineStr">
        <is>
          <t>DT-066</t>
        </is>
      </c>
      <c r="B67" s="20" t="inlineStr">
        <is>
          <t>B</t>
        </is>
      </c>
      <c r="C67" s="20" t="inlineStr">
        <is>
          <t>Bouwsteen of data-infrastructuur (NL)</t>
        </is>
      </c>
      <c r="D67" s="20" t="inlineStr">
        <is>
          <t>Het Normo: afsprakenstelsel energiedata</t>
        </is>
      </c>
      <c r="E67" s="20" t="inlineStr">
        <is>
          <t>Energie</t>
        </is>
      </c>
      <c r="F67" s="20" t="inlineStr">
        <is>
          <t>NL</t>
        </is>
      </c>
      <c r="G67" s="20" t="inlineStr">
        <is>
          <t>NL</t>
        </is>
      </c>
      <c r="H67" s="20" t="inlineStr">
        <is>
          <t>Data-infrastructuur</t>
        </is>
      </c>
      <c r="I67" s="20" t="inlineStr">
        <is>
          <t>Inzicht &amp; monitoring</t>
        </is>
      </c>
      <c r="J67" s="20" t="n"/>
      <c r="K67" s="20" t="inlineStr">
        <is>
          <t>Net / nationaal systeem</t>
        </is>
      </c>
      <c r="L67" s="20" t="inlineStr">
        <is>
          <t>n.v.t.</t>
        </is>
      </c>
      <c r="M67" s="20" t="inlineStr">
        <is>
          <t>Alle</t>
        </is>
      </c>
      <c r="N67" s="20" t="inlineStr">
        <is>
          <t>4 Operationeel</t>
        </is>
      </c>
      <c r="O67" s="20" t="inlineStr">
        <is>
          <t>Energiewet; ADE 1.2.1; NEDRA</t>
        </is>
      </c>
      <c r="P67" s="20" t="inlineStr">
        <is>
          <t>HETNORMO;ADE;NEDRA</t>
        </is>
      </c>
      <c r="Q67" s="20" t="n"/>
      <c r="R67" s="20" t="inlineStr">
        <is>
          <t>Het Normo (GUE sinds 1-1-2026)</t>
        </is>
      </c>
      <c r="S67" s="20" t="inlineStr">
        <is>
          <t>Beheerder</t>
        </is>
      </c>
      <c r="T67" s="20" t="inlineStr">
        <is>
          <t>Operationeel; eerste dataproducten live</t>
        </is>
      </c>
      <c r="U67" s="20" t="inlineStr">
        <is>
          <t>Trust- en toegangslaag voor twin-data</t>
        </is>
      </c>
      <c r="V67" s="20" t="inlineStr">
        <is>
          <t>https://data-governance-2026.reports.energiedata.nl/initiatieven-data-delen.html</t>
        </is>
      </c>
      <c r="W67" s="20" t="n">
        <v>51.98</v>
      </c>
      <c r="X67" s="20" t="n">
        <v>5.91</v>
      </c>
      <c r="Y67" s="20" t="inlineStr">
        <is>
          <t>v4 of eerder</t>
        </is>
      </c>
      <c r="Z67" s="23" t="inlineStr">
        <is>
          <t>nee</t>
        </is>
      </c>
      <c r="AA67" s="20" t="inlineStr">
        <is>
          <t>Stelsel</t>
        </is>
      </c>
      <c r="AB67" s="20" t="inlineStr">
        <is>
          <t>n.v.t.</t>
        </is>
      </c>
      <c r="AC67" s="20" t="inlineStr">
        <is>
          <t>n.v.t.</t>
        </is>
      </c>
      <c r="AD67" s="20" t="inlineStr">
        <is>
          <t>-</t>
        </is>
      </c>
      <c r="AE67" s="20" t="inlineStr">
        <is>
          <t>Elektriciteit; Gas; Waterstof; Warmte/koude (multi-commodity)</t>
        </is>
      </c>
      <c r="AF67" s="20" t="inlineStr">
        <is>
          <t>Trekker/eigenaar</t>
        </is>
      </c>
      <c r="AG67" s="20" t="inlineStr">
        <is>
          <t>B primaire bron</t>
        </is>
      </c>
    </row>
    <row r="68" ht="55.2" customHeight="1" s="15">
      <c r="A68" s="20" t="inlineStr">
        <is>
          <t>DT-067</t>
        </is>
      </c>
      <c r="B68" s="20" t="inlineStr">
        <is>
          <t>B</t>
        </is>
      </c>
      <c r="C68" s="20" t="inlineStr">
        <is>
          <t>Bouwsteen of data-infrastructuur (NL)</t>
        </is>
      </c>
      <c r="D68" s="20" t="inlineStr">
        <is>
          <t>Energie Dataportaal + roadmap dataproducten netbeheerders</t>
        </is>
      </c>
      <c r="E68" s="20" t="inlineStr">
        <is>
          <t>Energie</t>
        </is>
      </c>
      <c r="F68" s="20" t="inlineStr">
        <is>
          <t>NL</t>
        </is>
      </c>
      <c r="G68" s="20" t="inlineStr">
        <is>
          <t>NL</t>
        </is>
      </c>
      <c r="H68" s="20" t="inlineStr">
        <is>
          <t>Data-infrastructuur</t>
        </is>
      </c>
      <c r="I68" s="20" t="inlineStr">
        <is>
          <t>Inzicht &amp; monitoring</t>
        </is>
      </c>
      <c r="J68" s="20" t="n"/>
      <c r="K68" s="20" t="inlineStr">
        <is>
          <t>Net / nationaal systeem</t>
        </is>
      </c>
      <c r="L68" s="20" t="inlineStr">
        <is>
          <t>n.v.t.</t>
        </is>
      </c>
      <c r="M68" s="20" t="inlineStr">
        <is>
          <t>Elektriciteit, gas</t>
        </is>
      </c>
      <c r="N68" s="20" t="inlineStr">
        <is>
          <t>3 Demonstratie/lab</t>
        </is>
      </c>
      <c r="O68" s="20" t="inlineStr">
        <is>
          <t>ADE 1.2.3</t>
        </is>
      </c>
      <c r="P68" s="20" t="inlineStr">
        <is>
          <t>ADE;HETNORMO</t>
        </is>
      </c>
      <c r="Q68" s="20" t="n"/>
      <c r="R68" s="20" t="inlineStr">
        <is>
          <t>Netbeheer Nederland, Het Normo</t>
        </is>
      </c>
      <c r="S68" s="20" t="inlineStr">
        <is>
          <t>Beheerder</t>
        </is>
      </c>
      <c r="T68" s="20" t="inlineStr">
        <is>
          <t>Roadmap jan. 2026 (noemt twins niet)</t>
        </is>
      </c>
      <c r="U68" s="20" t="inlineStr">
        <is>
          <t>Databron voor twins</t>
        </is>
      </c>
      <c r="V68" s="20" t="inlineStr">
        <is>
          <t>https://www.netbeheernederland.nl/sites/default/files/2026-01/2026_q1_v5_nbnl_energy_data_intelligence_roadmap.pdf</t>
        </is>
      </c>
      <c r="W68" s="20" t="n">
        <v>52.08</v>
      </c>
      <c r="X68" s="20" t="n">
        <v>4.31</v>
      </c>
      <c r="Y68" s="20" t="inlineStr">
        <is>
          <t>v4 of eerder</t>
        </is>
      </c>
      <c r="Z68" s="23" t="inlineStr">
        <is>
          <t>nee</t>
        </is>
      </c>
      <c r="AA68" s="20" t="inlineStr">
        <is>
          <t>Stelsel</t>
        </is>
      </c>
      <c r="AB68" s="20" t="inlineStr">
        <is>
          <t>n.v.t.</t>
        </is>
      </c>
      <c r="AC68" s="20" t="inlineStr">
        <is>
          <t>n.v.t.</t>
        </is>
      </c>
      <c r="AD68" s="20" t="inlineStr">
        <is>
          <t>-</t>
        </is>
      </c>
      <c r="AE68" s="20" t="inlineStr">
        <is>
          <t>Elektriciteit; Gas (multi-commodity)</t>
        </is>
      </c>
      <c r="AF68" s="20" t="inlineStr">
        <is>
          <t>Trekker/eigenaar</t>
        </is>
      </c>
      <c r="AG68" s="20" t="inlineStr">
        <is>
          <t>B primaire bron</t>
        </is>
      </c>
    </row>
    <row r="69" ht="55.2" customHeight="1" s="15">
      <c r="A69" s="20" t="inlineStr">
        <is>
          <t>DT-068</t>
        </is>
      </c>
      <c r="B69" s="20" t="inlineStr">
        <is>
          <t>B</t>
        </is>
      </c>
      <c r="C69" s="20" t="inlineStr">
        <is>
          <t>Bouwsteen of data-infrastructuur (NL)</t>
        </is>
      </c>
      <c r="D69" s="20" t="inlineStr">
        <is>
          <t>Common European Energy Data Space</t>
        </is>
      </c>
      <c r="E69" s="20" t="inlineStr">
        <is>
          <t>Energie</t>
        </is>
      </c>
      <c r="F69" s="20" t="inlineStr">
        <is>
          <t>Europees</t>
        </is>
      </c>
      <c r="G69" s="20" t="inlineStr">
        <is>
          <t>EU</t>
        </is>
      </c>
      <c r="H69" s="20" t="inlineStr">
        <is>
          <t>Data-infrastructuur</t>
        </is>
      </c>
      <c r="I69" s="20" t="inlineStr">
        <is>
          <t>Inzicht &amp; monitoring</t>
        </is>
      </c>
      <c r="J69" s="20" t="n"/>
      <c r="K69" s="20" t="inlineStr">
        <is>
          <t>Europees</t>
        </is>
      </c>
      <c r="L69" s="20" t="inlineStr">
        <is>
          <t>n.v.t.</t>
        </is>
      </c>
      <c r="M69" s="20" t="inlineStr">
        <is>
          <t>Alle</t>
        </is>
      </c>
      <c r="N69" s="20" t="inlineStr">
        <is>
          <t>2 Pilot/PoC</t>
        </is>
      </c>
      <c r="O69" s="20" t="inlineStr">
        <is>
          <t>EU</t>
        </is>
      </c>
      <c r="P69" s="20" t="inlineStr">
        <is>
          <t>CEEDS</t>
        </is>
      </c>
      <c r="Q69" s="20" t="n"/>
      <c r="R69" s="20" t="inlineStr">
        <is>
          <t>EC; Int:net, Enershare, OMEGA-X, EDDIE</t>
        </is>
      </c>
      <c r="S69" s="20" t="inlineStr">
        <is>
          <t>Deelname via projecten</t>
        </is>
      </c>
      <c r="T69" s="20" t="inlineStr">
        <is>
          <t>Deployment sinds eind 2024</t>
        </is>
      </c>
      <c r="U69" s="20" t="inlineStr">
        <is>
          <t>EU-datalaag</t>
        </is>
      </c>
      <c r="V69" s="20" t="inlineStr">
        <is>
          <t>https://digital-strategy.ec.europa.eu/en/policies/digitalisation-energy</t>
        </is>
      </c>
      <c r="W69" s="20" t="n">
        <v>50.85</v>
      </c>
      <c r="X69" s="20" t="n">
        <v>4.35</v>
      </c>
      <c r="Y69" s="20" t="inlineStr">
        <is>
          <t>v4 of eerder</t>
        </is>
      </c>
      <c r="Z69" s="23" t="inlineStr">
        <is>
          <t>nee</t>
        </is>
      </c>
      <c r="AA69" s="20" t="inlineStr">
        <is>
          <t>Stelsel</t>
        </is>
      </c>
      <c r="AB69" s="20" t="inlineStr">
        <is>
          <t>n.v.t.</t>
        </is>
      </c>
      <c r="AC69" s="20" t="inlineStr">
        <is>
          <t>n.v.t.</t>
        </is>
      </c>
      <c r="AD69" s="20" t="inlineStr">
        <is>
          <t>-</t>
        </is>
      </c>
      <c r="AE69" s="20" t="inlineStr">
        <is>
          <t>Elektriciteit; Gas; Waterstof; Warmte/koude (multi-commodity)</t>
        </is>
      </c>
      <c r="AF69" s="20" t="inlineStr">
        <is>
          <t>Partner/deelnemer</t>
        </is>
      </c>
      <c r="AG69" s="20" t="inlineStr">
        <is>
          <t>B primaire bron</t>
        </is>
      </c>
    </row>
    <row r="70" ht="41.75" customHeight="1" s="15">
      <c r="A70" s="20" t="inlineStr">
        <is>
          <t>DT-069</t>
        </is>
      </c>
      <c r="B70" s="20" t="inlineStr">
        <is>
          <t>B</t>
        </is>
      </c>
      <c r="C70" s="20" t="inlineStr">
        <is>
          <t>Bouwsteen of data-infrastructuur (NL)</t>
        </is>
      </c>
      <c r="D70" s="20" t="inlineStr">
        <is>
          <t>Power Grid Model en OpenSTEF (LF Energy, oorsprong Alliander)</t>
        </is>
      </c>
      <c r="E70" s="20" t="inlineStr">
        <is>
          <t>Energie</t>
        </is>
      </c>
      <c r="F70" s="20" t="inlineStr">
        <is>
          <t>NL</t>
        </is>
      </c>
      <c r="G70" s="20" t="inlineStr">
        <is>
          <t>NL</t>
        </is>
      </c>
      <c r="H70" s="20" t="inlineStr">
        <is>
          <t>Bouwsteen</t>
        </is>
      </c>
      <c r="I70" s="20" t="inlineStr">
        <is>
          <t>Inzicht &amp; monitoring</t>
        </is>
      </c>
      <c r="J70" s="20" t="inlineStr">
        <is>
          <t>Voorspellen, Scenario &amp; planning</t>
        </is>
      </c>
      <c r="K70" s="20" t="inlineStr">
        <is>
          <t>Net / nationaal systeem</t>
        </is>
      </c>
      <c r="L70" s="20" t="inlineStr">
        <is>
          <t>n.v.t.</t>
        </is>
      </c>
      <c r="M70" s="20" t="inlineStr">
        <is>
          <t>Elektriciteit</t>
        </is>
      </c>
      <c r="N70" s="20" t="inlineStr">
        <is>
          <t>4 Operationeel</t>
        </is>
      </c>
      <c r="O70" s="20" t="inlineStr">
        <is>
          <t>LF Energy; NEDRA (componentbouwblok)</t>
        </is>
      </c>
      <c r="P70" s="20" t="inlineStr">
        <is>
          <t>LFE;NEDRA</t>
        </is>
      </c>
      <c r="Q70" s="20" t="inlineStr">
        <is>
          <t>BS-PGM;BS-OPENSTEF</t>
        </is>
      </c>
      <c r="R70" s="20" t="inlineStr">
        <is>
          <t>Alliander (initiatiefnemer), LF Energy-community</t>
        </is>
      </c>
      <c r="S70" s="20" t="inlineStr">
        <is>
          <t>Initiatiefnemer</t>
        </is>
      </c>
      <c r="T70" s="20" t="inlineStr">
        <is>
          <t>Actieve open-sourceprojecten onder LF Energy (projectlijst okt. 2026): netberekening distributienetten en kortetermijnvoorspelling</t>
        </is>
      </c>
      <c r="U70" s="20" t="inlineStr">
        <is>
          <t>Herbruikbare open rekenkern voor DSO- en regionale twins; voorkomt dat elke twin eigen netberekening inkoopt</t>
        </is>
      </c>
      <c r="V70" s="20" t="inlineStr">
        <is>
          <t>https://lfenergy.org/our-projects</t>
        </is>
      </c>
      <c r="W70" s="20" t="n">
        <v>51.98</v>
      </c>
      <c r="X70" s="20" t="n">
        <v>5.91</v>
      </c>
      <c r="Y70" s="20" t="inlineStr">
        <is>
          <t>v5</t>
        </is>
      </c>
      <c r="Z70" s="23" t="inlineStr">
        <is>
          <t>nee</t>
        </is>
      </c>
      <c r="AA70" s="20" t="inlineStr">
        <is>
          <t>Stelsel (bouwsteen)</t>
        </is>
      </c>
      <c r="AB70" s="20" t="inlineStr">
        <is>
          <t>n.v.t.</t>
        </is>
      </c>
      <c r="AC70" s="20" t="inlineStr">
        <is>
          <t>n.v.t.</t>
        </is>
      </c>
      <c r="AD70" s="20" t="inlineStr">
        <is>
          <t>-</t>
        </is>
      </c>
      <c r="AE70" s="20" t="inlineStr">
        <is>
          <t>Elektriciteit</t>
        </is>
      </c>
      <c r="AF70" s="20" t="inlineStr">
        <is>
          <t>Trekker/eigenaar</t>
        </is>
      </c>
      <c r="AG70" s="20" t="inlineStr">
        <is>
          <t>B primaire bron</t>
        </is>
      </c>
    </row>
    <row r="71" ht="41.75" customHeight="1" s="15">
      <c r="A71" s="20" t="inlineStr">
        <is>
          <t>DT-070</t>
        </is>
      </c>
      <c r="B71" s="20" t="inlineStr">
        <is>
          <t>B</t>
        </is>
      </c>
      <c r="C71" s="20" t="inlineStr">
        <is>
          <t>Bouwsteen of data-infrastructuur (NL)</t>
        </is>
      </c>
      <c r="D71" s="20" t="inlineStr">
        <is>
          <t>PowSyBl, Dynawo en Grid2Op (LF Energy, oorsprong RTE)</t>
        </is>
      </c>
      <c r="E71" s="20" t="inlineStr">
        <is>
          <t>Energie</t>
        </is>
      </c>
      <c r="F71" s="20" t="inlineStr">
        <is>
          <t>EU-lidstaat</t>
        </is>
      </c>
      <c r="G71" s="20" t="inlineStr">
        <is>
          <t>FR</t>
        </is>
      </c>
      <c r="H71" s="20" t="inlineStr">
        <is>
          <t>Bouwsteen</t>
        </is>
      </c>
      <c r="I71" s="20" t="inlineStr">
        <is>
          <t>Scenario &amp; planning</t>
        </is>
      </c>
      <c r="J71" s="20" t="inlineStr">
        <is>
          <t>Sturing &amp; optimalisatie, Onderzoek &amp; training</t>
        </is>
      </c>
      <c r="K71" s="20" t="inlineStr">
        <is>
          <t>Net / nationaal systeem</t>
        </is>
      </c>
      <c r="L71" s="20" t="inlineStr">
        <is>
          <t>n.v.t.</t>
        </is>
      </c>
      <c r="M71" s="20" t="inlineStr">
        <is>
          <t>Elektriciteit</t>
        </is>
      </c>
      <c r="N71" s="20" t="inlineStr">
        <is>
          <t>4 Operationeel</t>
        </is>
      </c>
      <c r="O71" s="20" t="inlineStr">
        <is>
          <t>LF Energy; ENTSO-E (CIM/CGMES)</t>
        </is>
      </c>
      <c r="P71" s="20" t="inlineStr">
        <is>
          <t>LFE;ENTSOE</t>
        </is>
      </c>
      <c r="Q71" s="20" t="inlineStr">
        <is>
          <t>BS-POWSYBL;BS-DYNAWO;BS-GRID2OP;BS-CIM</t>
        </is>
      </c>
      <c r="R71" s="20" t="inlineStr">
        <is>
          <t>RTE (initiatiefnemer), LF Energy-community</t>
        </is>
      </c>
      <c r="S71" s="20" t="inlineStr">
        <is>
          <t>Bruikbaar voor TenneT en Nationale Faciliteit</t>
        </is>
      </c>
      <c r="T71" s="20" t="inlineStr">
        <is>
          <t>Actieve open-sourceprojecten: netmodellering en stabiliteit (PowSyBl), dynamische simulatie (Dynawo), AI-netregeling (Grid2Op)</t>
        </is>
      </c>
      <c r="U71" s="20" t="inlineStr">
        <is>
          <t>Open TSO-rekenkern op CIM; kandidaat-bouwsteen voor de Nationale Faciliteit Digital Twin Elektriciteitssysteem</t>
        </is>
      </c>
      <c r="V71" s="20" t="inlineStr">
        <is>
          <t>https://lfenergy.org/our-projects</t>
        </is>
      </c>
      <c r="W71" s="20" t="n">
        <v>48.86</v>
      </c>
      <c r="X71" s="20" t="n">
        <v>2.35</v>
      </c>
      <c r="Y71" s="20" t="inlineStr">
        <is>
          <t>v5</t>
        </is>
      </c>
      <c r="Z71" s="23" t="inlineStr">
        <is>
          <t>nee</t>
        </is>
      </c>
      <c r="AA71" s="20" t="inlineStr">
        <is>
          <t>Stelsel (bouwsteen)</t>
        </is>
      </c>
      <c r="AB71" s="20" t="inlineStr">
        <is>
          <t>n.v.t.</t>
        </is>
      </c>
      <c r="AC71" s="20" t="inlineStr">
        <is>
          <t>n.v.t.</t>
        </is>
      </c>
      <c r="AD71" s="20" t="inlineStr">
        <is>
          <t>-</t>
        </is>
      </c>
      <c r="AE71" s="20" t="inlineStr">
        <is>
          <t>Elektriciteit</t>
        </is>
      </c>
      <c r="AF71" s="20" t="inlineStr">
        <is>
          <t>Geen</t>
        </is>
      </c>
      <c r="AG71" s="20" t="inlineStr">
        <is>
          <t>B primaire bron</t>
        </is>
      </c>
    </row>
    <row r="72" ht="28.35" customHeight="1" s="15">
      <c r="A72" s="20" t="inlineStr">
        <is>
          <t>DT-071</t>
        </is>
      </c>
      <c r="B72" s="20" t="inlineStr">
        <is>
          <t>B</t>
        </is>
      </c>
      <c r="C72" s="20" t="inlineStr">
        <is>
          <t>Bouwsteen of data-infrastructuur (NL)</t>
        </is>
      </c>
      <c r="D72" s="20" t="inlineStr">
        <is>
          <t>Netherlands3D (open-source framework)</t>
        </is>
      </c>
      <c r="E72" s="20" t="inlineStr">
        <is>
          <t>GO</t>
        </is>
      </c>
      <c r="F72" s="20" t="inlineStr">
        <is>
          <t>NL</t>
        </is>
      </c>
      <c r="G72" s="20" t="inlineStr">
        <is>
          <t>NL</t>
        </is>
      </c>
      <c r="H72" s="20" t="inlineStr">
        <is>
          <t>Bouwsteen</t>
        </is>
      </c>
      <c r="I72" s="20" t="inlineStr">
        <is>
          <t>Inzicht &amp; monitoring</t>
        </is>
      </c>
      <c r="J72" s="20" t="inlineStr">
        <is>
          <t>Gezamenlijke besluitvorming</t>
        </is>
      </c>
      <c r="K72" s="20" t="inlineStr">
        <is>
          <t>Gemeente / regio</t>
        </is>
      </c>
      <c r="L72" s="20" t="inlineStr">
        <is>
          <t>n.v.t.</t>
        </is>
      </c>
      <c r="M72" s="20" t="inlineStr">
        <is>
          <t>n.v.t.</t>
        </is>
      </c>
      <c r="N72" s="20" t="inlineStr">
        <is>
          <t>4 Operationeel</t>
        </is>
      </c>
      <c r="O72" s="20" t="inlineStr">
        <is>
          <t>NLDT</t>
        </is>
      </c>
      <c r="P72" s="20" t="inlineStr">
        <is>
          <t>NLDT</t>
        </is>
      </c>
      <c r="Q72" s="20" t="inlineStr">
        <is>
          <t>BS-3DBAG;BS-3DTILES</t>
        </is>
      </c>
      <c r="R72" s="20" t="inlineStr">
        <is>
          <t>Amsterdam, Utrecht, provincies Flevoland en Utrecht</t>
        </is>
      </c>
      <c r="S72" s="20" t="inlineStr">
        <is>
          <t>Trekker</t>
        </is>
      </c>
      <c r="T72" s="20" t="inlineStr">
        <is>
          <t>Lopend, open source</t>
        </is>
      </c>
      <c r="U72" s="20" t="inlineStr">
        <is>
          <t>Open viewer en framework; energielagen (netten, warmte) kunnen erop worden toegevoegd</t>
        </is>
      </c>
      <c r="V72" s="20" t="inlineStr">
        <is>
          <t>https://netherlands3d.eu/</t>
        </is>
      </c>
      <c r="W72" s="20" t="n">
        <v>52.37</v>
      </c>
      <c r="X72" s="20" t="n">
        <v>4.9</v>
      </c>
      <c r="Y72" s="20" t="inlineStr">
        <is>
          <t>v6</t>
        </is>
      </c>
      <c r="Z72" s="23" t="inlineStr">
        <is>
          <t>nee</t>
        </is>
      </c>
      <c r="AA72" s="20" t="inlineStr">
        <is>
          <t>Stelsel (bouwsteen)</t>
        </is>
      </c>
      <c r="AB72" s="20" t="inlineStr">
        <is>
          <t>n.v.t.</t>
        </is>
      </c>
      <c r="AC72" s="20" t="inlineStr">
        <is>
          <t>n.v.t.</t>
        </is>
      </c>
      <c r="AD72" s="20" t="inlineStr">
        <is>
          <t>-</t>
        </is>
      </c>
      <c r="AE72" s="20" t="inlineStr">
        <is>
          <t>n.v.t.</t>
        </is>
      </c>
      <c r="AF72" s="20" t="inlineStr">
        <is>
          <t>Trekker/eigenaar</t>
        </is>
      </c>
      <c r="AG72" s="20" t="inlineStr">
        <is>
          <t>B primaire bron</t>
        </is>
      </c>
    </row>
    <row r="73" ht="41.75" customHeight="1" s="15">
      <c r="A73" s="20" t="inlineStr">
        <is>
          <t>DT-072</t>
        </is>
      </c>
      <c r="B73" s="20" t="inlineStr">
        <is>
          <t>B</t>
        </is>
      </c>
      <c r="C73" s="20" t="inlineStr">
        <is>
          <t>Bouwsteen of data-infrastructuur (NL)</t>
        </is>
      </c>
      <c r="D73" s="20" t="inlineStr">
        <is>
          <t>Digitale Tweeling Nederland (platform en stichting)</t>
        </is>
      </c>
      <c r="E73" s="20" t="inlineStr">
        <is>
          <t>GO</t>
        </is>
      </c>
      <c r="F73" s="20" t="inlineStr">
        <is>
          <t>NL</t>
        </is>
      </c>
      <c r="G73" s="20" t="inlineStr">
        <is>
          <t>NL</t>
        </is>
      </c>
      <c r="H73" s="20" t="inlineStr">
        <is>
          <t>Data-infrastructuur</t>
        </is>
      </c>
      <c r="I73" s="20" t="inlineStr">
        <is>
          <t>Inzicht &amp; monitoring</t>
        </is>
      </c>
      <c r="J73" s="20" t="inlineStr">
        <is>
          <t>Gezamenlijke besluitvorming</t>
        </is>
      </c>
      <c r="K73" s="20" t="inlineStr">
        <is>
          <t>Gemeente / regio</t>
        </is>
      </c>
      <c r="L73" s="20" t="inlineStr">
        <is>
          <t>Model</t>
        </is>
      </c>
      <c r="M73" s="20" t="inlineStr">
        <is>
          <t>n.v.t.</t>
        </is>
      </c>
      <c r="N73" s="20" t="inlineStr">
        <is>
          <t>4 Operationeel</t>
        </is>
      </c>
      <c r="O73" s="20" t="inlineStr">
        <is>
          <t>NLDT</t>
        </is>
      </c>
      <c r="P73" s="20" t="inlineStr">
        <is>
          <t>NLDT</t>
        </is>
      </c>
      <c r="Q73" s="20" t="n"/>
      <c r="R73" s="20" t="inlineStr">
        <is>
          <t>Gestart in Alkmaar; stichting met overheden, kennisinstellingen en marktpartijen (opgericht 2026)</t>
        </is>
      </c>
      <c r="S73" s="20" t="inlineStr">
        <is>
          <t>Trekker</t>
        </is>
      </c>
      <c r="T73" s="20" t="inlineStr">
        <is>
          <t>Platform sinds jan. 2024; stichting 2026</t>
        </is>
      </c>
      <c r="U73" s="20" t="inlineStr">
        <is>
          <t>Publieke infrastructuur waarop elke organisatie een eigen twin krijgt</t>
        </is>
      </c>
      <c r="V73" s="20" t="inlineStr">
        <is>
          <t>https://vng.nl/praktijkvoorbeelden/digitale-tweeling-nederland-voor-iedereen</t>
        </is>
      </c>
      <c r="W73" s="20" t="n">
        <v>52.63</v>
      </c>
      <c r="X73" s="20" t="n">
        <v>4.75</v>
      </c>
      <c r="Y73" s="20" t="inlineStr">
        <is>
          <t>v6</t>
        </is>
      </c>
      <c r="Z73" s="23" t="inlineStr">
        <is>
          <t>nee</t>
        </is>
      </c>
      <c r="AA73" s="20" t="inlineStr">
        <is>
          <t>Stelsel</t>
        </is>
      </c>
      <c r="AB73" s="20" t="inlineStr">
        <is>
          <t>Model</t>
        </is>
      </c>
      <c r="AC73" s="20" t="inlineStr">
        <is>
          <t>Gerealiseerd</t>
        </is>
      </c>
      <c r="AD73" s="20" t="inlineStr">
        <is>
          <t>1 Digitaal model</t>
        </is>
      </c>
      <c r="AE73" s="20" t="inlineStr">
        <is>
          <t>n.v.t.</t>
        </is>
      </c>
      <c r="AF73" s="20" t="inlineStr">
        <is>
          <t>Trekker/eigenaar</t>
        </is>
      </c>
      <c r="AG73" s="20" t="inlineStr">
        <is>
          <t>B primaire bron</t>
        </is>
      </c>
    </row>
    <row r="74" ht="28.35" customHeight="1" s="15">
      <c r="A74" s="20" t="inlineStr">
        <is>
          <t>DT-073</t>
        </is>
      </c>
      <c r="B74" s="20" t="inlineStr">
        <is>
          <t>B</t>
        </is>
      </c>
      <c r="C74" s="20" t="inlineStr">
        <is>
          <t>Bouwsteen of data-infrastructuur (NL)</t>
        </is>
      </c>
      <c r="D74" s="20" t="inlineStr">
        <is>
          <t>Scenexus (ex-TNO Urban Strategy)</t>
        </is>
      </c>
      <c r="E74" s="20" t="inlineStr">
        <is>
          <t>GO</t>
        </is>
      </c>
      <c r="F74" s="20" t="inlineStr">
        <is>
          <t>NL</t>
        </is>
      </c>
      <c r="G74" s="20" t="inlineStr">
        <is>
          <t>NL</t>
        </is>
      </c>
      <c r="H74" s="20" t="inlineStr">
        <is>
          <t>Bouwsteen</t>
        </is>
      </c>
      <c r="I74" s="20" t="inlineStr">
        <is>
          <t>Scenario &amp; planning</t>
        </is>
      </c>
      <c r="J74" s="20" t="n"/>
      <c r="K74" s="20" t="inlineStr">
        <is>
          <t>Gemeente / regio</t>
        </is>
      </c>
      <c r="L74" s="20" t="inlineStr">
        <is>
          <t>Model</t>
        </is>
      </c>
      <c r="M74" s="20" t="inlineStr">
        <is>
          <t>n.v.t.</t>
        </is>
      </c>
      <c r="N74" s="20" t="inlineStr">
        <is>
          <t>4 Operationeel</t>
        </is>
      </c>
      <c r="O74" s="20" t="inlineStr">
        <is>
          <t>-</t>
        </is>
      </c>
      <c r="P74" s="20" t="inlineStr">
        <is>
          <t>-</t>
        </is>
      </c>
      <c r="Q74" s="20" t="n"/>
      <c r="R74" s="20" t="inlineStr">
        <is>
          <t>TNO-spin-off</t>
        </is>
      </c>
      <c r="S74" s="20" t="inlineStr">
        <is>
          <t>Trekker</t>
        </is>
      </c>
      <c r="T74" s="20" t="inlineStr">
        <is>
          <t>Commercieel</t>
        </is>
      </c>
      <c r="U74" s="20" t="inlineStr">
        <is>
          <t>Gekoppelde rekenmodellen (verkeer, lucht, geluid); energie kan als module worden toegevoegd</t>
        </is>
      </c>
      <c r="V74" s="20" t="inlineStr">
        <is>
          <t>https://ventures.tno.nl/portfolio/scenexus/</t>
        </is>
      </c>
      <c r="W74" s="20" t="n">
        <v>52.08</v>
      </c>
      <c r="X74" s="20" t="n">
        <v>4.31</v>
      </c>
      <c r="Y74" s="20" t="inlineStr">
        <is>
          <t>v6</t>
        </is>
      </c>
      <c r="Z74" s="23" t="inlineStr">
        <is>
          <t>nee</t>
        </is>
      </c>
      <c r="AA74" s="20" t="inlineStr">
        <is>
          <t>Stelsel (bouwsteen)</t>
        </is>
      </c>
      <c r="AB74" s="20" t="inlineStr">
        <is>
          <t>Model</t>
        </is>
      </c>
      <c r="AC74" s="20" t="inlineStr">
        <is>
          <t>Gerealiseerd</t>
        </is>
      </c>
      <c r="AD74" s="20" t="inlineStr">
        <is>
          <t>1 Digitaal model</t>
        </is>
      </c>
      <c r="AE74" s="20" t="inlineStr">
        <is>
          <t>n.v.t.</t>
        </is>
      </c>
      <c r="AF74" s="20" t="inlineStr">
        <is>
          <t>Trekker/eigenaar</t>
        </is>
      </c>
      <c r="AG74" s="20" t="inlineStr">
        <is>
          <t>B primaire bron</t>
        </is>
      </c>
    </row>
    <row r="75" ht="41.75" customHeight="1" s="15">
      <c r="A75" s="20" t="inlineStr">
        <is>
          <t>DT-074</t>
        </is>
      </c>
      <c r="B75" s="20" t="inlineStr">
        <is>
          <t>B</t>
        </is>
      </c>
      <c r="C75" s="20" t="inlineStr">
        <is>
          <t>Bouwsteen of data-infrastructuur (NL)</t>
        </is>
      </c>
      <c r="D75" s="20" t="inlineStr">
        <is>
          <t>3D BAG / 3D Basisvoorziening</t>
        </is>
      </c>
      <c r="E75" s="20" t="inlineStr">
        <is>
          <t>GO</t>
        </is>
      </c>
      <c r="F75" s="20" t="inlineStr">
        <is>
          <t>NL</t>
        </is>
      </c>
      <c r="G75" s="20" t="inlineStr">
        <is>
          <t>NL</t>
        </is>
      </c>
      <c r="H75" s="20" t="inlineStr">
        <is>
          <t>Bouwsteen</t>
        </is>
      </c>
      <c r="I75" s="20" t="inlineStr">
        <is>
          <t>Inzicht &amp; monitoring</t>
        </is>
      </c>
      <c r="J75" s="20" t="inlineStr">
        <is>
          <t>Ontwerp &amp; engineering</t>
        </is>
      </c>
      <c r="K75" s="20" t="inlineStr">
        <is>
          <t>Net / nationaal systeem</t>
        </is>
      </c>
      <c r="L75" s="20" t="inlineStr">
        <is>
          <t>Model</t>
        </is>
      </c>
      <c r="M75" s="20" t="inlineStr">
        <is>
          <t>n.v.t.</t>
        </is>
      </c>
      <c r="N75" s="20" t="inlineStr">
        <is>
          <t>5 Opgeschaald</t>
        </is>
      </c>
      <c r="O75" s="20" t="inlineStr">
        <is>
          <t>NLDT</t>
        </is>
      </c>
      <c r="P75" s="20" t="inlineStr">
        <is>
          <t>NLDT</t>
        </is>
      </c>
      <c r="Q75" s="20" t="inlineStr">
        <is>
          <t>BS-3DBAG</t>
        </is>
      </c>
      <c r="R75" s="20" t="inlineStr">
        <is>
          <t>TU Delft, Kadaster</t>
        </is>
      </c>
      <c r="S75" s="20" t="inlineStr">
        <is>
          <t>Trekker</t>
        </is>
      </c>
      <c r="T75" s="20" t="inlineStr">
        <is>
          <t>Operationeel, open data</t>
        </is>
      </c>
      <c r="U75" s="20" t="inlineStr">
        <is>
          <t>Landelijke 3D-basis voor energie-use cases (zonpotentieel, warmtevraag); vergelijkbaar met PLATEAU en Geo3D</t>
        </is>
      </c>
      <c r="V75" s="20" t="inlineStr">
        <is>
          <t>https://3dbag.nl/</t>
        </is>
      </c>
      <c r="W75" s="20" t="n">
        <v>52</v>
      </c>
      <c r="X75" s="20" t="n">
        <v>4.37</v>
      </c>
      <c r="Y75" s="20" t="inlineStr">
        <is>
          <t>v6</t>
        </is>
      </c>
      <c r="Z75" s="23" t="inlineStr">
        <is>
          <t>nee</t>
        </is>
      </c>
      <c r="AA75" s="20" t="inlineStr">
        <is>
          <t>Stelsel (bouwsteen)</t>
        </is>
      </c>
      <c r="AB75" s="20" t="inlineStr">
        <is>
          <t>Model</t>
        </is>
      </c>
      <c r="AC75" s="20" t="inlineStr">
        <is>
          <t>Gerealiseerd</t>
        </is>
      </c>
      <c r="AD75" s="20" t="inlineStr">
        <is>
          <t>1 Digitaal model</t>
        </is>
      </c>
      <c r="AE75" s="20" t="inlineStr">
        <is>
          <t>n.v.t.</t>
        </is>
      </c>
      <c r="AF75" s="20" t="inlineStr">
        <is>
          <t>Trekker/eigenaar</t>
        </is>
      </c>
      <c r="AG75" s="20" t="inlineStr">
        <is>
          <t>B primaire bron</t>
        </is>
      </c>
    </row>
    <row r="76" ht="28.35" customHeight="1" s="15">
      <c r="A76" s="20" t="inlineStr">
        <is>
          <t>DT-075</t>
        </is>
      </c>
      <c r="B76" s="20" t="inlineStr">
        <is>
          <t>B</t>
        </is>
      </c>
      <c r="C76" s="20" t="inlineStr">
        <is>
          <t>Bouwsteen of data-infrastructuur (NL)</t>
        </is>
      </c>
      <c r="D76" s="20" t="inlineStr">
        <is>
          <t>3D Tiles Nederland</t>
        </is>
      </c>
      <c r="E76" s="20" t="inlineStr">
        <is>
          <t>GO</t>
        </is>
      </c>
      <c r="F76" s="20" t="inlineStr">
        <is>
          <t>NL</t>
        </is>
      </c>
      <c r="G76" s="20" t="inlineStr">
        <is>
          <t>NL</t>
        </is>
      </c>
      <c r="H76" s="20" t="inlineStr">
        <is>
          <t>Bouwsteen</t>
        </is>
      </c>
      <c r="I76" s="20" t="inlineStr">
        <is>
          <t>Inzicht &amp; monitoring</t>
        </is>
      </c>
      <c r="J76" s="20" t="n"/>
      <c r="K76" s="20" t="inlineStr">
        <is>
          <t>Gemeente / regio</t>
        </is>
      </c>
      <c r="L76" s="20" t="inlineStr">
        <is>
          <t>Model</t>
        </is>
      </c>
      <c r="M76" s="20" t="inlineStr">
        <is>
          <t>n.v.t.</t>
        </is>
      </c>
      <c r="N76" s="20" t="inlineStr">
        <is>
          <t>4 Operationeel</t>
        </is>
      </c>
      <c r="O76" s="20" t="inlineStr">
        <is>
          <t>NLDT</t>
        </is>
      </c>
      <c r="P76" s="20" t="inlineStr">
        <is>
          <t>NLDT</t>
        </is>
      </c>
      <c r="Q76" s="20" t="inlineStr">
        <is>
          <t>BS-3DTILES</t>
        </is>
      </c>
      <c r="R76" s="20" t="inlineStr">
        <is>
          <t>VNG, Rotterdam, Amsterdam, Den Haag</t>
        </is>
      </c>
      <c r="S76" s="20" t="inlineStr">
        <is>
          <t>Trekker</t>
        </is>
      </c>
      <c r="T76" s="20" t="inlineStr">
        <is>
          <t>Operationeel</t>
        </is>
      </c>
      <c r="U76" s="20" t="inlineStr">
        <is>
          <t>3D-stadsmodellen als webservice in OGC 3D Tiles</t>
        </is>
      </c>
      <c r="V76" s="20" t="inlineStr">
        <is>
          <t>https://3dtilesnederland.nl/</t>
        </is>
      </c>
      <c r="W76" s="20" t="n">
        <v>52.08</v>
      </c>
      <c r="X76" s="20" t="n">
        <v>4.31</v>
      </c>
      <c r="Y76" s="20" t="inlineStr">
        <is>
          <t>v6</t>
        </is>
      </c>
      <c r="Z76" s="23" t="inlineStr">
        <is>
          <t>nee</t>
        </is>
      </c>
      <c r="AA76" s="20" t="inlineStr">
        <is>
          <t>Stelsel (bouwsteen)</t>
        </is>
      </c>
      <c r="AB76" s="20" t="inlineStr">
        <is>
          <t>Model</t>
        </is>
      </c>
      <c r="AC76" s="20" t="inlineStr">
        <is>
          <t>Gerealiseerd</t>
        </is>
      </c>
      <c r="AD76" s="20" t="inlineStr">
        <is>
          <t>1 Digitaal model</t>
        </is>
      </c>
      <c r="AE76" s="20" t="inlineStr">
        <is>
          <t>n.v.t.</t>
        </is>
      </c>
      <c r="AF76" s="20" t="inlineStr">
        <is>
          <t>Trekker/eigenaar</t>
        </is>
      </c>
      <c r="AG76" s="20" t="inlineStr">
        <is>
          <t>B primaire bron</t>
        </is>
      </c>
    </row>
    <row r="77" ht="28.35" customHeight="1" s="15">
      <c r="A77" s="20" t="inlineStr">
        <is>
          <t>DT-076</t>
        </is>
      </c>
      <c r="B77" s="20" t="inlineStr">
        <is>
          <t>B</t>
        </is>
      </c>
      <c r="C77" s="20" t="inlineStr">
        <is>
          <t>Bouwsteen of data-infrastructuur (NL)</t>
        </is>
      </c>
      <c r="D77" s="20" t="inlineStr">
        <is>
          <t>Groningen in 3D</t>
        </is>
      </c>
      <c r="E77" s="20" t="inlineStr">
        <is>
          <t>GO</t>
        </is>
      </c>
      <c r="F77" s="20" t="inlineStr">
        <is>
          <t>NL</t>
        </is>
      </c>
      <c r="G77" s="20" t="inlineStr">
        <is>
          <t>NL</t>
        </is>
      </c>
      <c r="H77" s="20" t="inlineStr">
        <is>
          <t>Bouwsteen</t>
        </is>
      </c>
      <c r="I77" s="20" t="inlineStr">
        <is>
          <t>Inzicht &amp; monitoring</t>
        </is>
      </c>
      <c r="J77" s="20" t="n"/>
      <c r="K77" s="20" t="inlineStr">
        <is>
          <t>Gemeente / regio</t>
        </is>
      </c>
      <c r="L77" s="20" t="inlineStr">
        <is>
          <t>Model</t>
        </is>
      </c>
      <c r="M77" s="20" t="inlineStr">
        <is>
          <t>n.v.t.</t>
        </is>
      </c>
      <c r="N77" s="20" t="inlineStr">
        <is>
          <t>4 Operationeel</t>
        </is>
      </c>
      <c r="O77" s="20" t="inlineStr">
        <is>
          <t>-</t>
        </is>
      </c>
      <c r="P77" s="20" t="inlineStr">
        <is>
          <t>-</t>
        </is>
      </c>
      <c r="Q77" s="20" t="n"/>
      <c r="R77" s="20" t="inlineStr">
        <is>
          <t>Gemeente Groningen, Geomaat, Geonovum</t>
        </is>
      </c>
      <c r="S77" s="20" t="inlineStr">
        <is>
          <t>Trekker</t>
        </is>
      </c>
      <c r="T77" s="20" t="inlineStr">
        <is>
          <t>Operationeel</t>
        </is>
      </c>
      <c r="U77" s="20" t="inlineStr">
        <is>
          <t>Gemeentelijk 3D-stadsmodel als basis voor GO- en energietoepassingen</t>
        </is>
      </c>
      <c r="V77" s="20" t="inlineStr">
        <is>
          <t>https://www.geomaat.nl/producten/3d-stadsmodel/</t>
        </is>
      </c>
      <c r="W77" s="20" t="n">
        <v>53.22</v>
      </c>
      <c r="X77" s="20" t="n">
        <v>6.57</v>
      </c>
      <c r="Y77" s="20" t="inlineStr">
        <is>
          <t>v6</t>
        </is>
      </c>
      <c r="Z77" s="23" t="inlineStr">
        <is>
          <t>nee</t>
        </is>
      </c>
      <c r="AA77" s="20" t="inlineStr">
        <is>
          <t>Stelsel (bouwsteen)</t>
        </is>
      </c>
      <c r="AB77" s="20" t="inlineStr">
        <is>
          <t>Model</t>
        </is>
      </c>
      <c r="AC77" s="20" t="inlineStr">
        <is>
          <t>Gerealiseerd</t>
        </is>
      </c>
      <c r="AD77" s="20" t="inlineStr">
        <is>
          <t>1 Digitaal model</t>
        </is>
      </c>
      <c r="AE77" s="20" t="inlineStr">
        <is>
          <t>n.v.t.</t>
        </is>
      </c>
      <c r="AF77" s="20" t="inlineStr">
        <is>
          <t>Trekker/eigenaar</t>
        </is>
      </c>
      <c r="AG77" s="20" t="inlineStr">
        <is>
          <t>B primaire bron</t>
        </is>
      </c>
    </row>
    <row r="78" ht="41.75" customHeight="1" s="15">
      <c r="A78" s="20" t="inlineStr">
        <is>
          <t>DT-077</t>
        </is>
      </c>
      <c r="B78" s="20" t="inlineStr">
        <is>
          <t>B</t>
        </is>
      </c>
      <c r="C78" s="20" t="inlineStr">
        <is>
          <t>Bouwsteen of data-infrastructuur (NL)</t>
        </is>
      </c>
      <c r="D78" s="20" t="inlineStr">
        <is>
          <t>Provincie Noord-Holland: kennis- en dataspace Wonen</t>
        </is>
      </c>
      <c r="E78" s="20" t="inlineStr">
        <is>
          <t>GO</t>
        </is>
      </c>
      <c r="F78" s="20" t="inlineStr">
        <is>
          <t>NL</t>
        </is>
      </c>
      <c r="G78" s="20" t="inlineStr">
        <is>
          <t>NL</t>
        </is>
      </c>
      <c r="H78" s="20" t="inlineStr">
        <is>
          <t>Data-infrastructuur</t>
        </is>
      </c>
      <c r="I78" s="20" t="inlineStr">
        <is>
          <t>Inzicht &amp; monitoring</t>
        </is>
      </c>
      <c r="J78" s="20" t="inlineStr">
        <is>
          <t>Scenario &amp; planning</t>
        </is>
      </c>
      <c r="K78" s="20" t="inlineStr">
        <is>
          <t>Gemeente / regio</t>
        </is>
      </c>
      <c r="L78" s="20" t="inlineStr">
        <is>
          <t>Model</t>
        </is>
      </c>
      <c r="M78" s="20" t="inlineStr">
        <is>
          <t>n.v.t.</t>
        </is>
      </c>
      <c r="N78" s="20" t="inlineStr">
        <is>
          <t>4 Operationeel</t>
        </is>
      </c>
      <c r="O78" s="20" t="inlineStr">
        <is>
          <t>-</t>
        </is>
      </c>
      <c r="P78" s="20" t="inlineStr">
        <is>
          <t>-</t>
        </is>
      </c>
      <c r="Q78" s="20" t="n"/>
      <c r="R78" s="20" t="inlineStr">
        <is>
          <t>Provincie Noord-Holland</t>
        </is>
      </c>
      <c r="S78" s="20" t="inlineStr">
        <is>
          <t>Trekker</t>
        </is>
      </c>
      <c r="T78" s="20" t="inlineStr">
        <is>
          <t>Operationeel (ArcGIS Hub)</t>
        </is>
      </c>
      <c r="U78" s="20" t="inlineStr">
        <is>
          <t>Provinciale datavoorziening voor de woningbouwopgave; energie (netcapaciteit) zou een logische laag zijn</t>
        </is>
      </c>
      <c r="V78" s="20" t="inlineStr">
        <is>
          <t>https://wonen-noord-holland.hub.arcgis.com/pages/digital-twin</t>
        </is>
      </c>
      <c r="W78" s="20" t="n">
        <v>52.38</v>
      </c>
      <c r="X78" s="20" t="n">
        <v>4.64</v>
      </c>
      <c r="Y78" s="20" t="inlineStr">
        <is>
          <t>v6</t>
        </is>
      </c>
      <c r="Z78" s="23" t="inlineStr">
        <is>
          <t>nee</t>
        </is>
      </c>
      <c r="AA78" s="20" t="inlineStr">
        <is>
          <t>Stelsel</t>
        </is>
      </c>
      <c r="AB78" s="20" t="inlineStr">
        <is>
          <t>Model</t>
        </is>
      </c>
      <c r="AC78" s="20" t="inlineStr">
        <is>
          <t>Gerealiseerd</t>
        </is>
      </c>
      <c r="AD78" s="20" t="inlineStr">
        <is>
          <t>1 Digitaal model</t>
        </is>
      </c>
      <c r="AE78" s="20" t="inlineStr">
        <is>
          <t>n.v.t.</t>
        </is>
      </c>
      <c r="AF78" s="20" t="inlineStr">
        <is>
          <t>Trekker/eigenaar</t>
        </is>
      </c>
      <c r="AG78" s="20" t="inlineStr">
        <is>
          <t>B primaire bron</t>
        </is>
      </c>
    </row>
    <row r="79" ht="68.65000000000001" customHeight="1" s="15">
      <c r="A79" s="20" t="inlineStr">
        <is>
          <t>DT-078</t>
        </is>
      </c>
      <c r="B79" s="20" t="inlineStr">
        <is>
          <t>B</t>
        </is>
      </c>
      <c r="C79" s="20" t="inlineStr">
        <is>
          <t>Bouwsteen of data-infrastructuur (NL)</t>
        </is>
      </c>
      <c r="D79" s="20" t="inlineStr">
        <is>
          <t>EIGEN: blauwdruk en toolset voor energiehubs op bedrijventerreinen</t>
        </is>
      </c>
      <c r="E79" s="20" t="inlineStr">
        <is>
          <t>Energie</t>
        </is>
      </c>
      <c r="F79" s="20" t="inlineStr">
        <is>
          <t>NL</t>
        </is>
      </c>
      <c r="G79" s="20" t="inlineStr">
        <is>
          <t>NL</t>
        </is>
      </c>
      <c r="H79" s="20" t="inlineStr">
        <is>
          <t>Bouwsteen</t>
        </is>
      </c>
      <c r="I79" s="20" t="inlineStr">
        <is>
          <t>Ontwerp &amp; engineering</t>
        </is>
      </c>
      <c r="J79" s="20" t="inlineStr">
        <is>
          <t>Scenario &amp; planning</t>
        </is>
      </c>
      <c r="K79" s="20" t="inlineStr">
        <is>
          <t>Wijk / bedrijventerrein / hub</t>
        </is>
      </c>
      <c r="L79" s="20" t="inlineStr">
        <is>
          <t>n.v.t.</t>
        </is>
      </c>
      <c r="M79" s="20" t="inlineStr">
        <is>
          <t>Elektriciteit</t>
        </is>
      </c>
      <c r="N79" s="20" t="inlineStr">
        <is>
          <t>3 Demonstratie/lab</t>
        </is>
      </c>
      <c r="O79" s="20" t="inlineStr">
        <is>
          <t>Energiehubs; Systeemintegratie</t>
        </is>
      </c>
      <c r="P79" s="20" t="inlineStr">
        <is>
          <t>TSE-INNOV</t>
        </is>
      </c>
      <c r="Q79" s="20" t="n"/>
      <c r="R79" s="20" t="inlineStr">
        <is>
          <t>Alliander (trekker), TNO, Saxion, Elaad, Entrnce, Connectr, Arcadis, Dep, Liander, PARKnCHARGE, Recoy, SemperPower, Firan, SEP, UT, Ventolines</t>
        </is>
      </c>
      <c r="S79" s="20" t="inlineStr">
        <is>
          <t>Trekker</t>
        </is>
      </c>
      <c r="T79" s="20" t="inlineStr">
        <is>
          <t>Afgerond; universele blauwdruk en toolset opgeleverd</t>
        </is>
      </c>
      <c r="U79" s="20" t="inlineStr">
        <is>
          <t>Herbruikbare aanpak voor energiehubs waar hubtwins (Drechtsteden, Utrecht, Ecofactorij) op kunnen aansluiten</t>
        </is>
      </c>
      <c r="V79" s="20" t="inlineStr">
        <is>
          <t>Rapport datagovernance 2026, use case P001: https://www.eigen-energyhubs.nl/ ; https://projecten.topsectorenergie.nl/projecten/energy-hubs-voor-inpassing-van-grootschalige-hernieuwbare-energie-36343</t>
        </is>
      </c>
      <c r="W79" s="20" t="n">
        <v>51.98</v>
      </c>
      <c r="X79" s="20" t="n">
        <v>5.91</v>
      </c>
      <c r="Y79" s="20" t="inlineStr">
        <is>
          <t>v7</t>
        </is>
      </c>
      <c r="Z79" s="23" t="inlineStr">
        <is>
          <t>nee</t>
        </is>
      </c>
      <c r="AA79" s="20" t="inlineStr">
        <is>
          <t>Stelsel (bouwsteen)</t>
        </is>
      </c>
      <c r="AB79" s="20" t="inlineStr">
        <is>
          <t>n.v.t.</t>
        </is>
      </c>
      <c r="AC79" s="20" t="inlineStr">
        <is>
          <t>n.v.t.</t>
        </is>
      </c>
      <c r="AD79" s="20" t="inlineStr">
        <is>
          <t>-</t>
        </is>
      </c>
      <c r="AE79" s="20" t="inlineStr">
        <is>
          <t>Elektriciteit</t>
        </is>
      </c>
      <c r="AF79" s="20" t="inlineStr">
        <is>
          <t>Trekker/eigenaar</t>
        </is>
      </c>
      <c r="AG79" s="20" t="inlineStr">
        <is>
          <t>C secundaire bron</t>
        </is>
      </c>
    </row>
    <row r="80" ht="68.65000000000001" customHeight="1" s="15">
      <c r="A80" s="20" t="inlineStr">
        <is>
          <t>DT-079</t>
        </is>
      </c>
      <c r="B80" s="20" t="inlineStr">
        <is>
          <t>B</t>
        </is>
      </c>
      <c r="C80" s="20" t="inlineStr">
        <is>
          <t>Bouwsteen of data-infrastructuur (NL)</t>
        </is>
      </c>
      <c r="D80" s="20" t="inlineStr">
        <is>
          <t>GO-e: rekentools en flexdiensten voor elektrificatie gebouwde omgeving</t>
        </is>
      </c>
      <c r="E80" s="20" t="inlineStr">
        <is>
          <t>Energie + GO</t>
        </is>
      </c>
      <c r="F80" s="20" t="inlineStr">
        <is>
          <t>NL</t>
        </is>
      </c>
      <c r="G80" s="20" t="inlineStr">
        <is>
          <t>NL</t>
        </is>
      </c>
      <c r="H80" s="20" t="inlineStr">
        <is>
          <t>Bouwsteen</t>
        </is>
      </c>
      <c r="I80" s="20" t="inlineStr">
        <is>
          <t>Scenario &amp; planning</t>
        </is>
      </c>
      <c r="J80" s="20" t="inlineStr">
        <is>
          <t>Sturing &amp; optimalisatie</t>
        </is>
      </c>
      <c r="K80" s="20" t="inlineStr">
        <is>
          <t>Gemeente / regio</t>
        </is>
      </c>
      <c r="L80" s="20" t="inlineStr">
        <is>
          <t>Model</t>
        </is>
      </c>
      <c r="M80" s="20" t="inlineStr">
        <is>
          <t>Elektriciteit</t>
        </is>
      </c>
      <c r="N80" s="20" t="inlineStr">
        <is>
          <t>3 Demonstratie/lab</t>
        </is>
      </c>
      <c r="O80" s="20" t="inlineStr">
        <is>
          <t>MOOI</t>
        </is>
      </c>
      <c r="P80" s="20" t="inlineStr">
        <is>
          <t>TSE-INNOV</t>
        </is>
      </c>
      <c r="Q80" s="20" t="n"/>
      <c r="R80" s="20" t="inlineStr">
        <is>
          <t>TNO, Alliander, DNV, Enexis, ETPA, Greenchoice, Itho Daalderop, Phase to Phase, Stedin, ElaadNL, Technolution, Witteveen+Bos e.a.</t>
        </is>
      </c>
      <c r="S80" s="20" t="inlineStr">
        <is>
          <t>Trekker</t>
        </is>
      </c>
      <c r="T80" s="20" t="inlineStr">
        <is>
          <t>Afgerond; rekenmodellen voor MS- en LS-netten, afwegingskaders netbeheerders, flexdiensten</t>
        </is>
      </c>
      <c r="U80" s="20" t="inlineStr">
        <is>
          <t>Rekenmodellen en afwegingskaders voor netbeheerders bij elektrificatie van woningen: bouwsteen voor de brug GO-energie</t>
        </is>
      </c>
      <c r="V80" s="20" t="inlineStr">
        <is>
          <t>Rapport datagovernance 2026, use case P069: https://www.projectgo-e.nl/ ; https://projecten.topsectorenergie.nl/projecten/gebouwde-omgeving-elektrificatie-innovatieplatform-35019</t>
        </is>
      </c>
      <c r="W80" s="20" t="n">
        <v>52.08</v>
      </c>
      <c r="X80" s="20" t="n">
        <v>4.31</v>
      </c>
      <c r="Y80" s="20" t="inlineStr">
        <is>
          <t>v7</t>
        </is>
      </c>
      <c r="Z80" s="23" t="inlineStr">
        <is>
          <t>nee</t>
        </is>
      </c>
      <c r="AA80" s="20" t="inlineStr">
        <is>
          <t>Stelsel (bouwsteen)</t>
        </is>
      </c>
      <c r="AB80" s="20" t="inlineStr">
        <is>
          <t>Model</t>
        </is>
      </c>
      <c r="AC80" s="20" t="inlineStr">
        <is>
          <t>Gerealiseerd</t>
        </is>
      </c>
      <c r="AD80" s="20" t="inlineStr">
        <is>
          <t>1 Digitaal model</t>
        </is>
      </c>
      <c r="AE80" s="20" t="inlineStr">
        <is>
          <t>Elektriciteit</t>
        </is>
      </c>
      <c r="AF80" s="20" t="inlineStr">
        <is>
          <t>Trekker/eigenaar</t>
        </is>
      </c>
      <c r="AG80" s="20" t="inlineStr">
        <is>
          <t>C secundaire bron</t>
        </is>
      </c>
    </row>
    <row r="81" ht="55.2" customHeight="1" s="15">
      <c r="A81" s="20" t="inlineStr">
        <is>
          <t>DT-080</t>
        </is>
      </c>
      <c r="B81" s="20" t="inlineStr">
        <is>
          <t>B</t>
        </is>
      </c>
      <c r="C81" s="20" t="inlineStr">
        <is>
          <t>Bouwsteen of data-infrastructuur (NL)</t>
        </is>
      </c>
      <c r="D81" s="20" t="inlineStr">
        <is>
          <t>EnergySHR: Energy Data Sharing House (datasets en algoritmen)</t>
        </is>
      </c>
      <c r="E81" s="20" t="inlineStr">
        <is>
          <t>Energie</t>
        </is>
      </c>
      <c r="F81" s="20" t="inlineStr">
        <is>
          <t>NL</t>
        </is>
      </c>
      <c r="G81" s="20" t="inlineStr">
        <is>
          <t>NL</t>
        </is>
      </c>
      <c r="H81" s="20" t="inlineStr">
        <is>
          <t>Data-infrastructuur</t>
        </is>
      </c>
      <c r="I81" s="20" t="inlineStr">
        <is>
          <t>Onderzoek &amp; training</t>
        </is>
      </c>
      <c r="J81" s="20" t="inlineStr">
        <is>
          <t>Inzicht &amp; monitoring</t>
        </is>
      </c>
      <c r="K81" s="20" t="inlineStr">
        <is>
          <t>Net / nationaal systeem</t>
        </is>
      </c>
      <c r="L81" s="20" t="inlineStr">
        <is>
          <t>n.v.t.</t>
        </is>
      </c>
      <c r="M81" s="20" t="inlineStr">
        <is>
          <t>Alle</t>
        </is>
      </c>
      <c r="N81" s="20" t="inlineStr">
        <is>
          <t>4 Operationeel</t>
        </is>
      </c>
      <c r="O81" s="20" t="inlineStr">
        <is>
          <t>-</t>
        </is>
      </c>
      <c r="P81" s="20" t="inlineStr">
        <is>
          <t>-</t>
        </is>
      </c>
      <c r="Q81" s="20" t="n"/>
      <c r="R81" s="20" t="inlineStr">
        <is>
          <t>AIDD Convergence CESI, Erasmus Data Collaboratory, Erasmus Universiteit, TU Delft, Erasmus MC</t>
        </is>
      </c>
      <c r="S81" s="20" t="inlineStr">
        <is>
          <t>Trekker</t>
        </is>
      </c>
      <c r="T81" s="20" t="inlineStr">
        <is>
          <t>Operationeel open platform; Jupyter-notebooks bij datasets</t>
        </is>
      </c>
      <c r="U81" s="20" t="inlineStr">
        <is>
          <t>Plek om twin-datasets en -algoritmen herbruikbaar te publiceren; kan het register aanvullen</t>
        </is>
      </c>
      <c r="V81" s="20" t="inlineStr">
        <is>
          <t>Rapport datagovernance 2026, use case P063: https://energyshr.nl/</t>
        </is>
      </c>
      <c r="W81" s="20" t="n">
        <v>51.92</v>
      </c>
      <c r="X81" s="20" t="n">
        <v>4.53</v>
      </c>
      <c r="Y81" s="20" t="inlineStr">
        <is>
          <t>v7</t>
        </is>
      </c>
      <c r="Z81" s="23" t="inlineStr">
        <is>
          <t>nee</t>
        </is>
      </c>
      <c r="AA81" s="20" t="inlineStr">
        <is>
          <t>Stelsel</t>
        </is>
      </c>
      <c r="AB81" s="20" t="inlineStr">
        <is>
          <t>n.v.t.</t>
        </is>
      </c>
      <c r="AC81" s="20" t="inlineStr">
        <is>
          <t>n.v.t.</t>
        </is>
      </c>
      <c r="AD81" s="20" t="inlineStr">
        <is>
          <t>-</t>
        </is>
      </c>
      <c r="AE81" s="20" t="inlineStr">
        <is>
          <t>Elektriciteit; Gas; Waterstof; Warmte/koude (multi-commodity)</t>
        </is>
      </c>
      <c r="AF81" s="20" t="inlineStr">
        <is>
          <t>Trekker/eigenaar</t>
        </is>
      </c>
      <c r="AG81" s="20" t="inlineStr">
        <is>
          <t>C secundaire bron</t>
        </is>
      </c>
    </row>
    <row r="82" ht="68.65000000000001" customHeight="1" s="15">
      <c r="A82" s="20" t="inlineStr">
        <is>
          <t>DT-081</t>
        </is>
      </c>
      <c r="B82" s="20" t="inlineStr">
        <is>
          <t>B</t>
        </is>
      </c>
      <c r="C82" s="20" t="inlineStr">
        <is>
          <t>Bouwsteen of data-infrastructuur (NL)</t>
        </is>
      </c>
      <c r="D82" s="20" t="inlineStr">
        <is>
          <t>DVU: Datastelsel Verduurzaming Utiliteit</t>
        </is>
      </c>
      <c r="E82" s="20" t="inlineStr">
        <is>
          <t>Energie + GO</t>
        </is>
      </c>
      <c r="F82" s="20" t="inlineStr">
        <is>
          <t>NL</t>
        </is>
      </c>
      <c r="G82" s="20" t="inlineStr">
        <is>
          <t>NL</t>
        </is>
      </c>
      <c r="H82" s="20" t="inlineStr">
        <is>
          <t>Data-infrastructuur</t>
        </is>
      </c>
      <c r="I82" s="20" t="inlineStr">
        <is>
          <t>Inzicht &amp; monitoring</t>
        </is>
      </c>
      <c r="J82" s="20" t="inlineStr">
        <is>
          <t>Scenario &amp; planning</t>
        </is>
      </c>
      <c r="K82" s="20" t="inlineStr">
        <is>
          <t>Gebouw / site</t>
        </is>
      </c>
      <c r="L82" s="20" t="inlineStr">
        <is>
          <t>n.v.t.</t>
        </is>
      </c>
      <c r="M82" s="20" t="inlineStr">
        <is>
          <t>Elektriciteit, gas (gebouwverbruik)</t>
        </is>
      </c>
      <c r="N82" s="20" t="inlineStr">
        <is>
          <t>4 Operationeel</t>
        </is>
      </c>
      <c r="O82" s="20" t="inlineStr">
        <is>
          <t>DSGO; Het Normo/Energiewet</t>
        </is>
      </c>
      <c r="P82" s="20" t="inlineStr">
        <is>
          <t>DSGO;HETNORMO</t>
        </is>
      </c>
      <c r="Q82" s="20" t="inlineStr">
        <is>
          <t>BS-ISHARE;BS-WEII</t>
        </is>
      </c>
      <c r="R82" s="20" t="inlineStr">
        <is>
          <t>RVO (interface), Dutch Green Building Council (WEii), iSHARE-ecosysteem</t>
        </is>
      </c>
      <c r="S82" s="20" t="inlineStr">
        <is>
          <t>Trekker</t>
        </is>
      </c>
      <c r="T82" s="20" t="inlineStr">
        <is>
          <t>Operationeel datastelsel; meetdata en gebouwkenmerken via iSHARE en eHerkenning (referentiedatum Q2 2026)</t>
        </is>
      </c>
      <c r="U82" s="20" t="inlineStr">
        <is>
          <t>De gebouwkant van de energietwin: gemeten verbruik plus gebouwkenmerken onder regie van de eigenaar; getagd als 'digitale tweeling'</t>
        </is>
      </c>
      <c r="V82" s="20" t="inlineStr">
        <is>
          <t>Rapport datagovernance 2026, initiatieven data delen (DVU): https://www.datastelselverduurzamingutiliteit.nl/ ; https://ishare.eu/nl/ecosysteem/ishare-in-data-spaces/dvu/</t>
        </is>
      </c>
      <c r="W82" s="20" t="n">
        <v>52.08</v>
      </c>
      <c r="X82" s="20" t="n">
        <v>4.31</v>
      </c>
      <c r="Y82" s="20" t="inlineStr">
        <is>
          <t>v7</t>
        </is>
      </c>
      <c r="Z82" s="23" t="inlineStr">
        <is>
          <t>nee</t>
        </is>
      </c>
      <c r="AA82" s="20" t="inlineStr">
        <is>
          <t>Stelsel</t>
        </is>
      </c>
      <c r="AB82" s="20" t="inlineStr">
        <is>
          <t>n.v.t.</t>
        </is>
      </c>
      <c r="AC82" s="20" t="inlineStr">
        <is>
          <t>n.v.t.</t>
        </is>
      </c>
      <c r="AD82" s="20" t="inlineStr">
        <is>
          <t>-</t>
        </is>
      </c>
      <c r="AE82" s="20" t="inlineStr">
        <is>
          <t>Elektriciteit; Gas (multi-commodity)</t>
        </is>
      </c>
      <c r="AF82" s="20" t="inlineStr">
        <is>
          <t>Trekker/eigenaar</t>
        </is>
      </c>
      <c r="AG82" s="20" t="inlineStr">
        <is>
          <t>C secundaire bron</t>
        </is>
      </c>
    </row>
    <row r="83" ht="41.75" customHeight="1" s="15">
      <c r="A83" s="20" t="inlineStr">
        <is>
          <t>DT-082</t>
        </is>
      </c>
      <c r="B83" s="20" t="inlineStr">
        <is>
          <t>B</t>
        </is>
      </c>
      <c r="C83" s="20" t="inlineStr">
        <is>
          <t>Bouwsteen of data-infrastructuur (NL)</t>
        </is>
      </c>
      <c r="D83" s="20" t="inlineStr">
        <is>
          <t>TenneT Digital Spine: realtime uitwisseling van operationele data tussen netgebruikers en TSO (concept)</t>
        </is>
      </c>
      <c r="E83" s="20" t="inlineStr">
        <is>
          <t>Energie</t>
        </is>
      </c>
      <c r="F83" s="20" t="inlineStr">
        <is>
          <t>NL</t>
        </is>
      </c>
      <c r="G83" s="20" t="inlineStr">
        <is>
          <t>NL</t>
        </is>
      </c>
      <c r="H83" s="20" t="inlineStr">
        <is>
          <t>Data-infrastructuur</t>
        </is>
      </c>
      <c r="I83" s="20" t="inlineStr">
        <is>
          <t>Inzicht &amp; monitoring</t>
        </is>
      </c>
      <c r="J83" s="20" t="inlineStr">
        <is>
          <t>Sturing &amp; optimalisatie</t>
        </is>
      </c>
      <c r="K83" s="20" t="inlineStr">
        <is>
          <t>Net / nationaal systeem</t>
        </is>
      </c>
      <c r="L83" s="20" t="inlineStr">
        <is>
          <t>n.v.t.</t>
        </is>
      </c>
      <c r="M83" s="20" t="inlineStr">
        <is>
          <t>Elektriciteit</t>
        </is>
      </c>
      <c r="N83" s="20" t="inlineStr">
        <is>
          <t>1 Verkenning</t>
        </is>
      </c>
      <c r="O83" s="20" t="inlineStr">
        <is>
          <t>ADE</t>
        </is>
      </c>
      <c r="P83" s="20" t="inlineStr">
        <is>
          <t>ADE</t>
        </is>
      </c>
      <c r="Q83" s="20" t="n"/>
      <c r="R83" s="20" t="inlineStr">
        <is>
          <t>TenneT (binnen ADE-actie 1.2.1, trekker KGG)</t>
        </is>
      </c>
      <c r="S83" s="20" t="inlineStr">
        <is>
          <t>Trekker</t>
        </is>
      </c>
      <c r="T83" s="20" t="inlineStr">
        <is>
          <t>Concept; alleen bekend uit de ADE, geen primaire bron gevonden</t>
        </is>
      </c>
      <c r="U83" s="20" t="inlineStr">
        <is>
          <t>Kandidaat-datalaag voor een nationale systeemtwin; zelfde term als NESO Data Sharing Infrastructure (DT-130)</t>
        </is>
      </c>
      <c r="V83" s="20" t="inlineStr">
        <is>
          <t>Actieagenda Digitalisering Energiesysteem, actie 1.2.1 (KGG/TNO, 11-12-2025)</t>
        </is>
      </c>
      <c r="W83" s="20" t="n">
        <v>51.98</v>
      </c>
      <c r="X83" s="20" t="n">
        <v>5.91</v>
      </c>
      <c r="Y83" s="20" t="inlineStr">
        <is>
          <t>v12</t>
        </is>
      </c>
      <c r="Z83" s="23" t="inlineStr">
        <is>
          <t>nee</t>
        </is>
      </c>
      <c r="AA83" s="20" t="inlineStr">
        <is>
          <t>Stelsel</t>
        </is>
      </c>
      <c r="AB83" s="20" t="inlineStr">
        <is>
          <t>n.v.t.</t>
        </is>
      </c>
      <c r="AC83" s="20" t="inlineStr">
        <is>
          <t>n.v.t.</t>
        </is>
      </c>
      <c r="AD83" s="20" t="inlineStr">
        <is>
          <t>-</t>
        </is>
      </c>
      <c r="AE83" s="20" t="inlineStr">
        <is>
          <t>Elektriciteit</t>
        </is>
      </c>
      <c r="AF83" s="20" t="inlineStr">
        <is>
          <t>Trekker/eigenaar</t>
        </is>
      </c>
      <c r="AG83" s="20" t="inlineStr">
        <is>
          <t>C secundaire bron</t>
        </is>
      </c>
    </row>
    <row r="84" ht="55.2" customHeight="1" s="15">
      <c r="A84" s="20" t="inlineStr">
        <is>
          <t>DT-083</t>
        </is>
      </c>
      <c r="B84" s="20" t="inlineStr">
        <is>
          <t>B</t>
        </is>
      </c>
      <c r="C84" s="20" t="inlineStr">
        <is>
          <t>Bouwsteen of data-infrastructuur (NL)</t>
        </is>
      </c>
      <c r="D84" s="20" t="inlineStr">
        <is>
          <t>Keuzehulp en overzicht energietransitierekenmodellen (werkgroep ETRM, Netbeheer Nederland)</t>
        </is>
      </c>
      <c r="E84" s="20" t="inlineStr">
        <is>
          <t>Energie</t>
        </is>
      </c>
      <c r="F84" s="20" t="inlineStr">
        <is>
          <t>NL</t>
        </is>
      </c>
      <c r="G84" s="20" t="inlineStr">
        <is>
          <t>NL</t>
        </is>
      </c>
      <c r="H84" s="20" t="inlineStr">
        <is>
          <t>Bouwsteen</t>
        </is>
      </c>
      <c r="I84" s="20" t="inlineStr">
        <is>
          <t>Scenario &amp; planning</t>
        </is>
      </c>
      <c r="J84" s="20" t="inlineStr">
        <is>
          <t>Ontwerp &amp; engineering</t>
        </is>
      </c>
      <c r="K84" s="20" t="inlineStr">
        <is>
          <t>Gemeente / regio</t>
        </is>
      </c>
      <c r="L84" s="20" t="inlineStr">
        <is>
          <t>n.v.t.</t>
        </is>
      </c>
      <c r="M84" s="20" t="inlineStr">
        <is>
          <t>Alle</t>
        </is>
      </c>
      <c r="N84" s="20" t="inlineStr">
        <is>
          <t>4 Operationeel</t>
        </is>
      </c>
      <c r="O84" s="20" t="inlineStr">
        <is>
          <t>-</t>
        </is>
      </c>
      <c r="P84" s="20" t="inlineStr">
        <is>
          <t>-</t>
        </is>
      </c>
      <c r="Q84" s="20" t="inlineStr">
        <is>
          <t>BS-ETM;BS-ESDL</t>
        </is>
      </c>
      <c r="R84" s="20" t="inlineStr">
        <is>
          <t>Werkgroep Energietransitierekenmodellen, Netbeheer Nederland</t>
        </is>
      </c>
      <c r="S84" s="20" t="inlineStr">
        <is>
          <t>Trekker</t>
        </is>
      </c>
      <c r="T84" s="20" t="inlineStr">
        <is>
          <t>Gepubliceerd; actualiteit en beheer te verifiëren</t>
        </is>
      </c>
      <c r="U84" s="20" t="inlineStr">
        <is>
          <t>Overzicht van welk rekenmodel er is (niet welk model in welke twin draait); verwezen in nDTFL-investeringsvoorstel en RES-handreiking</t>
        </is>
      </c>
      <c r="V84" s="20" t="inlineStr">
        <is>
          <t>Presentatie investeringsvoorstel nDTFL (Geonovum/BZK); RES-handreiking</t>
        </is>
      </c>
      <c r="W84" s="20" t="n">
        <v>52.08</v>
      </c>
      <c r="X84" s="20" t="n">
        <v>4.31</v>
      </c>
      <c r="Y84" s="20" t="inlineStr">
        <is>
          <t>v12</t>
        </is>
      </c>
      <c r="Z84" s="23" t="inlineStr">
        <is>
          <t>nee</t>
        </is>
      </c>
      <c r="AA84" s="20" t="inlineStr">
        <is>
          <t>Stelsel (bouwsteen)</t>
        </is>
      </c>
      <c r="AB84" s="20" t="inlineStr">
        <is>
          <t>n.v.t.</t>
        </is>
      </c>
      <c r="AC84" s="20" t="inlineStr">
        <is>
          <t>n.v.t.</t>
        </is>
      </c>
      <c r="AD84" s="20" t="inlineStr">
        <is>
          <t>-</t>
        </is>
      </c>
      <c r="AE84" s="20" t="inlineStr">
        <is>
          <t>Elektriciteit; Gas; Waterstof; Warmte/koude (multi-commodity)</t>
        </is>
      </c>
      <c r="AF84" s="20" t="inlineStr">
        <is>
          <t>Trekker/eigenaar</t>
        </is>
      </c>
      <c r="AG84" s="20" t="inlineStr">
        <is>
          <t>B primaire bron</t>
        </is>
      </c>
    </row>
    <row r="85" ht="41.75" customHeight="1" s="15">
      <c r="A85" s="20" t="inlineStr">
        <is>
          <t>DT-084</t>
        </is>
      </c>
      <c r="B85" s="20" t="inlineStr">
        <is>
          <t>B</t>
        </is>
      </c>
      <c r="C85" s="20" t="inlineStr">
        <is>
          <t>Bouwsteen of data-infrastructuur (NL)</t>
        </is>
      </c>
      <c r="D85" s="20" t="inlineStr">
        <is>
          <t>Federatief Datastelsel (FDS)</t>
        </is>
      </c>
      <c r="E85" s="20" t="inlineStr">
        <is>
          <t>Overig</t>
        </is>
      </c>
      <c r="F85" s="20" t="inlineStr">
        <is>
          <t>NL</t>
        </is>
      </c>
      <c r="G85" s="20" t="inlineStr">
        <is>
          <t>NL</t>
        </is>
      </c>
      <c r="H85" s="20" t="inlineStr">
        <is>
          <t>Data-infrastructuur</t>
        </is>
      </c>
      <c r="I85" s="20" t="inlineStr">
        <is>
          <t>Gezamenlijke besluitvorming</t>
        </is>
      </c>
      <c r="J85" s="20" t="inlineStr">
        <is>
          <t>Inzicht &amp; monitoring</t>
        </is>
      </c>
      <c r="K85" s="20" t="inlineStr">
        <is>
          <t>Net / nationaal systeem</t>
        </is>
      </c>
      <c r="L85" s="20" t="inlineStr">
        <is>
          <t>n.v.t.</t>
        </is>
      </c>
      <c r="M85" s="20" t="inlineStr">
        <is>
          <t>n.v.t.</t>
        </is>
      </c>
      <c r="N85" s="20" t="inlineStr">
        <is>
          <t>2 Pilot/PoC</t>
        </is>
      </c>
      <c r="O85" s="20" t="inlineStr">
        <is>
          <t>DSSC</t>
        </is>
      </c>
      <c r="P85" s="20" t="inlineStr">
        <is>
          <t>DSSC</t>
        </is>
      </c>
      <c r="Q85" s="20" t="inlineStr">
        <is>
          <t>BS-FSC;BS-DCAT</t>
        </is>
      </c>
      <c r="R85" s="20" t="inlineStr">
        <is>
          <t>Ministerie BZK (programma Realisatie IBDS); Geonovum e.a.</t>
        </is>
      </c>
      <c r="S85" s="20" t="inlineStr">
        <is>
          <t>Trekker</t>
        </is>
      </c>
      <c r="T85" s="20" t="inlineStr">
        <is>
          <t>In ontwikkeling; een van de tien data-ecosystemen in de CDO-inventarisatie</t>
        </is>
      </c>
      <c r="U85" s="20" t="inlineStr">
        <is>
          <t>Overheidsbrede federatie met FSC als connectiviteitsstandaard; energie is nog niet aangesloten (H28)</t>
        </is>
      </c>
      <c r="V85" s="20" t="inlineStr">
        <is>
          <t>Eindrapport Inventarisatie Architectuur Data Ecosystemen tbv CDO IenW (Geonovum, 17-4-2025)</t>
        </is>
      </c>
      <c r="W85" s="20" t="n">
        <v>52.08</v>
      </c>
      <c r="X85" s="20" t="n">
        <v>4.31</v>
      </c>
      <c r="Y85" s="20" t="inlineStr">
        <is>
          <t>v12</t>
        </is>
      </c>
      <c r="Z85" s="23" t="inlineStr">
        <is>
          <t>nee</t>
        </is>
      </c>
      <c r="AA85" s="20" t="inlineStr">
        <is>
          <t>Stelsel</t>
        </is>
      </c>
      <c r="AB85" s="20" t="inlineStr">
        <is>
          <t>n.v.t.</t>
        </is>
      </c>
      <c r="AC85" s="20" t="inlineStr">
        <is>
          <t>n.v.t.</t>
        </is>
      </c>
      <c r="AD85" s="20" t="inlineStr">
        <is>
          <t>-</t>
        </is>
      </c>
      <c r="AE85" s="20" t="inlineStr">
        <is>
          <t>n.v.t.</t>
        </is>
      </c>
      <c r="AF85" s="20" t="inlineStr">
        <is>
          <t>Trekker/eigenaar</t>
        </is>
      </c>
      <c r="AG85" s="20" t="inlineStr">
        <is>
          <t>B primaire bron</t>
        </is>
      </c>
    </row>
    <row r="86" ht="41.75" customHeight="1" s="15">
      <c r="A86" s="20" t="inlineStr">
        <is>
          <t>DT-085</t>
        </is>
      </c>
      <c r="B86" s="20" t="inlineStr">
        <is>
          <t>B</t>
        </is>
      </c>
      <c r="C86" s="20" t="inlineStr">
        <is>
          <t>Bouwsteen of data-infrastructuur (NL)</t>
        </is>
      </c>
      <c r="D86" s="20" t="inlineStr">
        <is>
          <t>Digitaal Stelsel Omgevingswet (DSO)</t>
        </is>
      </c>
      <c r="E86" s="20" t="inlineStr">
        <is>
          <t>GO</t>
        </is>
      </c>
      <c r="F86" s="20" t="inlineStr">
        <is>
          <t>NL</t>
        </is>
      </c>
      <c r="G86" s="20" t="inlineStr">
        <is>
          <t>NL</t>
        </is>
      </c>
      <c r="H86" s="20" t="inlineStr">
        <is>
          <t>Data-infrastructuur</t>
        </is>
      </c>
      <c r="I86" s="20" t="inlineStr">
        <is>
          <t>Inzicht &amp; monitoring</t>
        </is>
      </c>
      <c r="J86" s="20" t="inlineStr">
        <is>
          <t>Gezamenlijke besluitvorming</t>
        </is>
      </c>
      <c r="K86" s="20" t="inlineStr">
        <is>
          <t>Net / nationaal systeem</t>
        </is>
      </c>
      <c r="L86" s="20" t="inlineStr">
        <is>
          <t>n.v.t.</t>
        </is>
      </c>
      <c r="M86" s="20" t="inlineStr">
        <is>
          <t>n.v.t.</t>
        </is>
      </c>
      <c r="N86" s="20" t="inlineStr">
        <is>
          <t>5 Opgeschaald</t>
        </is>
      </c>
      <c r="O86" s="20" t="inlineStr">
        <is>
          <t>DSSC</t>
        </is>
      </c>
      <c r="P86" s="20" t="inlineStr">
        <is>
          <t>DSSC</t>
        </is>
      </c>
      <c r="Q86" s="20" t="inlineStr">
        <is>
          <t>BS-MIM</t>
        </is>
      </c>
      <c r="R86" s="20" t="inlineStr">
        <is>
          <t>Ministerie BZK/VRO, Kadaster, Geonovum, RWS, IPLO</t>
        </is>
      </c>
      <c r="S86" s="20" t="inlineStr">
        <is>
          <t>Trekker</t>
        </is>
      </c>
      <c r="T86" s="20" t="inlineStr">
        <is>
          <t>Landelijk operationeel sinds 1-1-2024</t>
        </is>
      </c>
      <c r="U86" s="20" t="inlineStr">
        <is>
          <t>Bron van omgevingsregels en ruimtelijke data voor GO-twins; informatiemodellen op MIM en NEN 3610</t>
        </is>
      </c>
      <c r="V86" s="20" t="inlineStr">
        <is>
          <t>Eindrapport Inventarisatie Architectuur Data Ecosystemen tbv CDO IenW (Geonovum, 17-4-2025)</t>
        </is>
      </c>
      <c r="W86" s="20" t="n">
        <v>52.08</v>
      </c>
      <c r="X86" s="20" t="n">
        <v>4.31</v>
      </c>
      <c r="Y86" s="20" t="inlineStr">
        <is>
          <t>v12</t>
        </is>
      </c>
      <c r="Z86" s="23" t="inlineStr">
        <is>
          <t>nee</t>
        </is>
      </c>
      <c r="AA86" s="20" t="inlineStr">
        <is>
          <t>Stelsel</t>
        </is>
      </c>
      <c r="AB86" s="20" t="inlineStr">
        <is>
          <t>n.v.t.</t>
        </is>
      </c>
      <c r="AC86" s="20" t="inlineStr">
        <is>
          <t>n.v.t.</t>
        </is>
      </c>
      <c r="AD86" s="20" t="inlineStr">
        <is>
          <t>-</t>
        </is>
      </c>
      <c r="AE86" s="20" t="inlineStr">
        <is>
          <t>n.v.t.</t>
        </is>
      </c>
      <c r="AF86" s="20" t="inlineStr">
        <is>
          <t>Trekker/eigenaar</t>
        </is>
      </c>
      <c r="AG86" s="20" t="inlineStr">
        <is>
          <t>B primaire bron</t>
        </is>
      </c>
    </row>
    <row r="87" ht="55.2" customHeight="1" s="15">
      <c r="A87" s="20" t="inlineStr">
        <is>
          <t>DT-086</t>
        </is>
      </c>
      <c r="B87" s="20" t="inlineStr">
        <is>
          <t>C</t>
        </is>
      </c>
      <c r="C87" s="20" t="inlineStr">
        <is>
          <t>Samenwerking of kennis (NL)</t>
        </is>
      </c>
      <c r="D87" s="20" t="inlineStr">
        <is>
          <t>Learning Communities Systeemintegratie</t>
        </is>
      </c>
      <c r="E87" s="20" t="inlineStr">
        <is>
          <t>Energie</t>
        </is>
      </c>
      <c r="F87" s="20" t="inlineStr">
        <is>
          <t>NL</t>
        </is>
      </c>
      <c r="G87" s="20" t="inlineStr">
        <is>
          <t>NL</t>
        </is>
      </c>
      <c r="H87" s="20" t="inlineStr">
        <is>
          <t>Samenwerking/kennis</t>
        </is>
      </c>
      <c r="I87" s="20" t="inlineStr">
        <is>
          <t>Onderzoek &amp; training</t>
        </is>
      </c>
      <c r="J87" s="20" t="n"/>
      <c r="K87" s="20" t="inlineStr">
        <is>
          <t>Wijk / bedrijventerrein / hub</t>
        </is>
      </c>
      <c r="L87" s="20" t="inlineStr">
        <is>
          <t>n.v.t.</t>
        </is>
      </c>
      <c r="M87" s="20" t="inlineStr">
        <is>
          <t>Multi-commodity</t>
        </is>
      </c>
      <c r="N87" s="20" t="inlineStr">
        <is>
          <t>4 Operationeel</t>
        </is>
      </c>
      <c r="O87" s="20" t="inlineStr">
        <is>
          <t>Energy Innovation NL Systeemintegratie</t>
        </is>
      </c>
      <c r="P87" s="20" t="inlineStr">
        <is>
          <t>TSE-INNOV</t>
        </is>
      </c>
      <c r="Q87" s="20" t="n"/>
      <c r="R87" s="20" t="inlineStr">
        <is>
          <t>HvA, Hanze, HAN, Saxion, TU Delft, HHs</t>
        </is>
      </c>
      <c r="S87" s="20" t="inlineStr">
        <is>
          <t>Trekker</t>
        </is>
      </c>
      <c r="T87" s="20" t="inlineStr">
        <is>
          <t>Actief; event 9-6-2026 o.a. over digital twins</t>
        </is>
      </c>
      <c r="U87" s="20" t="inlineStr">
        <is>
          <t>Bestaand kennisdelingskanaal praktijk</t>
        </is>
      </c>
      <c r="V87" s="20" t="inlineStr">
        <is>
          <t>https://energy-innovation.nl/nl/learning-communities-systeemintegratie/nieuws-en-events/slimme-energiesystemen-in-verbinding/</t>
        </is>
      </c>
      <c r="W87" s="20" t="n">
        <v>52.37</v>
      </c>
      <c r="X87" s="20" t="n">
        <v>4.9</v>
      </c>
      <c r="Y87" s="20" t="inlineStr">
        <is>
          <t>v4 of eerder</t>
        </is>
      </c>
      <c r="Z87" s="23" t="inlineStr">
        <is>
          <t>nee</t>
        </is>
      </c>
      <c r="AA87" s="20" t="inlineStr">
        <is>
          <t>Ecosysteem</t>
        </is>
      </c>
      <c r="AB87" s="20" t="inlineStr">
        <is>
          <t>n.v.t.</t>
        </is>
      </c>
      <c r="AC87" s="20" t="inlineStr">
        <is>
          <t>n.v.t.</t>
        </is>
      </c>
      <c r="AD87" s="20" t="inlineStr">
        <is>
          <t>-</t>
        </is>
      </c>
      <c r="AE87" s="20" t="inlineStr">
        <is>
          <t>Multi-commodity (dragers niet gespecificeerd)</t>
        </is>
      </c>
      <c r="AF87" s="20" t="inlineStr">
        <is>
          <t>Trekker/eigenaar</t>
        </is>
      </c>
      <c r="AG87" s="20" t="inlineStr">
        <is>
          <t>B primaire bron</t>
        </is>
      </c>
    </row>
    <row r="88" ht="55.2" customHeight="1" s="15">
      <c r="A88" s="20" t="inlineStr">
        <is>
          <t>DT-087</t>
        </is>
      </c>
      <c r="B88" s="20" t="inlineStr">
        <is>
          <t>C</t>
        </is>
      </c>
      <c r="C88" s="20" t="inlineStr">
        <is>
          <t>Samenwerking of kennis (NL)</t>
        </is>
      </c>
      <c r="D88" s="20" t="inlineStr">
        <is>
          <t>Impactanalyse Digital Twins in de energiesector</t>
        </is>
      </c>
      <c r="E88" s="20" t="inlineStr">
        <is>
          <t>Energie</t>
        </is>
      </c>
      <c r="F88" s="20" t="inlineStr">
        <is>
          <t>NL</t>
        </is>
      </c>
      <c r="G88" s="20" t="inlineStr">
        <is>
          <t>NL</t>
        </is>
      </c>
      <c r="H88" s="20" t="inlineStr">
        <is>
          <t>Samenwerking/kennis</t>
        </is>
      </c>
      <c r="I88" s="20" t="inlineStr">
        <is>
          <t>Onderzoek &amp; training</t>
        </is>
      </c>
      <c r="J88" s="20" t="n"/>
      <c r="K88" s="20" t="inlineStr">
        <is>
          <t>Net / nationaal systeem</t>
        </is>
      </c>
      <c r="L88" s="20" t="inlineStr">
        <is>
          <t>n.v.t.</t>
        </is>
      </c>
      <c r="M88" s="20" t="inlineStr">
        <is>
          <t>Alle</t>
        </is>
      </c>
      <c r="N88" s="20" t="inlineStr">
        <is>
          <t>4 Operationeel</t>
        </is>
      </c>
      <c r="O88" s="20" t="inlineStr">
        <is>
          <t>Programma Digitalisering TSE</t>
        </is>
      </c>
      <c r="P88" s="20" t="inlineStr">
        <is>
          <t>TSE-INNOV</t>
        </is>
      </c>
      <c r="Q88" s="20" t="n"/>
      <c r="R88" s="20" t="inlineStr">
        <is>
          <t>IBM i.o.v. Programma Digitalisering en RVO</t>
        </is>
      </c>
      <c r="S88" s="20" t="inlineStr">
        <is>
          <t>Opdrachtgever</t>
        </is>
      </c>
      <c r="T88" s="20" t="inlineStr">
        <is>
          <t>Afgerond; resultaten intern gedeeld nov. 2022, microsite voorzien Q1 2023; intern adviesdocument innovatiekansen</t>
        </is>
      </c>
      <c r="U88" s="20" t="inlineStr">
        <is>
          <t>Eerdere begripsvorming (twin vs. simulatie, typen) en kansen in vijf deelsectoren; vertrekpunt deel A (actualiseren)</t>
        </is>
      </c>
      <c r="V88" s="20" t="inlineStr">
        <is>
          <t>https://www.energy-innovation.nl/nl/projecten/impactanalyse-digital-twins-in-de-energiesector/</t>
        </is>
      </c>
      <c r="W88" s="20" t="n">
        <v>52.09</v>
      </c>
      <c r="X88" s="20" t="n">
        <v>5.12</v>
      </c>
      <c r="Y88" s="20" t="inlineStr">
        <is>
          <t>v4 of eerder</t>
        </is>
      </c>
      <c r="Z88" s="23" t="inlineStr">
        <is>
          <t>nee</t>
        </is>
      </c>
      <c r="AA88" s="20" t="inlineStr">
        <is>
          <t>Ecosysteem</t>
        </is>
      </c>
      <c r="AB88" s="20" t="inlineStr">
        <is>
          <t>n.v.t.</t>
        </is>
      </c>
      <c r="AC88" s="20" t="inlineStr">
        <is>
          <t>n.v.t.</t>
        </is>
      </c>
      <c r="AD88" s="20" t="inlineStr">
        <is>
          <t>-</t>
        </is>
      </c>
      <c r="AE88" s="20" t="inlineStr">
        <is>
          <t>Elektriciteit; Gas; Waterstof; Warmte/koude (multi-commodity)</t>
        </is>
      </c>
      <c r="AF88" s="20" t="inlineStr">
        <is>
          <t>Trekker/eigenaar</t>
        </is>
      </c>
      <c r="AG88" s="20" t="inlineStr">
        <is>
          <t>B primaire bron</t>
        </is>
      </c>
    </row>
    <row r="89" ht="41.75" customHeight="1" s="15">
      <c r="A89" s="20" t="inlineStr">
        <is>
          <t>DT-088</t>
        </is>
      </c>
      <c r="B89" s="20" t="inlineStr">
        <is>
          <t>C</t>
        </is>
      </c>
      <c r="C89" s="20" t="inlineStr">
        <is>
          <t>Samenwerking of kennis (NL)</t>
        </is>
      </c>
      <c r="D89" s="20" t="inlineStr">
        <is>
          <t>DMI x ADE: federatieve energie-twins en living labs</t>
        </is>
      </c>
      <c r="E89" s="20" t="inlineStr">
        <is>
          <t>Energie + GO</t>
        </is>
      </c>
      <c r="F89" s="20" t="inlineStr">
        <is>
          <t>NL</t>
        </is>
      </c>
      <c r="G89" s="20" t="inlineStr">
        <is>
          <t>NL</t>
        </is>
      </c>
      <c r="H89" s="20" t="inlineStr">
        <is>
          <t>Samenwerking/kennis</t>
        </is>
      </c>
      <c r="I89" s="20" t="inlineStr">
        <is>
          <t>Gezamenlijke besluitvorming</t>
        </is>
      </c>
      <c r="J89" s="20" t="n"/>
      <c r="K89" s="20" t="inlineStr">
        <is>
          <t>Gemeente / regio</t>
        </is>
      </c>
      <c r="L89" s="20" t="inlineStr">
        <is>
          <t>n.v.t.</t>
        </is>
      </c>
      <c r="M89" s="20" t="inlineStr">
        <is>
          <t>Elektriciteit</t>
        </is>
      </c>
      <c r="N89" s="20" t="inlineStr">
        <is>
          <t>1 Verkenning</t>
        </is>
      </c>
      <c r="O89" s="20" t="inlineStr">
        <is>
          <t>ADE; NLDT</t>
        </is>
      </c>
      <c r="P89" s="20" t="inlineStr">
        <is>
          <t>ADE;NLDT</t>
        </is>
      </c>
      <c r="Q89" s="20" t="inlineStr">
        <is>
          <t>BS-ESDL;BS-ISHARE</t>
        </is>
      </c>
      <c r="R89" s="20" t="inlineStr">
        <is>
          <t>DMI, gemeenten, netbeheerders</t>
        </is>
      </c>
      <c r="S89" s="20" t="inlineStr">
        <is>
          <t>Trekker</t>
        </is>
      </c>
      <c r="T89" s="20" t="inlineStr">
        <is>
          <t>Verkenning 2026; 4-6 living labs voorgesteld</t>
        </is>
      </c>
      <c r="U89" s="20" t="inlineStr">
        <is>
          <t>Brug NLDT-stelsel en energie</t>
        </is>
      </c>
      <c r="V89" s="20" t="inlineStr">
        <is>
          <t>https://data-governance-2026.reports.energiedata.nl/initiatieven-data-delen.html</t>
        </is>
      </c>
      <c r="W89" s="20" t="n">
        <v>52.08</v>
      </c>
      <c r="X89" s="20" t="n">
        <v>4.31</v>
      </c>
      <c r="Y89" s="20" t="inlineStr">
        <is>
          <t>v4 of eerder</t>
        </is>
      </c>
      <c r="Z89" s="23" t="inlineStr">
        <is>
          <t>nee</t>
        </is>
      </c>
      <c r="AA89" s="20" t="inlineStr">
        <is>
          <t>Ecosysteem</t>
        </is>
      </c>
      <c r="AB89" s="20" t="inlineStr">
        <is>
          <t>n.v.t.</t>
        </is>
      </c>
      <c r="AC89" s="20" t="inlineStr">
        <is>
          <t>n.v.t.</t>
        </is>
      </c>
      <c r="AD89" s="20" t="inlineStr">
        <is>
          <t>-</t>
        </is>
      </c>
      <c r="AE89" s="20" t="inlineStr">
        <is>
          <t>Elektriciteit</t>
        </is>
      </c>
      <c r="AF89" s="20" t="inlineStr">
        <is>
          <t>Trekker/eigenaar</t>
        </is>
      </c>
      <c r="AG89" s="20" t="inlineStr">
        <is>
          <t>B primaire bron</t>
        </is>
      </c>
    </row>
    <row r="90" ht="28.35" customHeight="1" s="15">
      <c r="A90" s="20" t="inlineStr">
        <is>
          <t>DT-089</t>
        </is>
      </c>
      <c r="B90" s="20" t="inlineStr">
        <is>
          <t>C</t>
        </is>
      </c>
      <c r="C90" s="20" t="inlineStr">
        <is>
          <t>Samenwerking of kennis (NL)</t>
        </is>
      </c>
      <c r="D90" s="20" t="inlineStr">
        <is>
          <t>NLDT-community / Zicht op Nederland</t>
        </is>
      </c>
      <c r="E90" s="20" t="inlineStr">
        <is>
          <t>GO</t>
        </is>
      </c>
      <c r="F90" s="20" t="inlineStr">
        <is>
          <t>NL</t>
        </is>
      </c>
      <c r="G90" s="20" t="inlineStr">
        <is>
          <t>NL</t>
        </is>
      </c>
      <c r="H90" s="20" t="inlineStr">
        <is>
          <t>Samenwerking/kennis</t>
        </is>
      </c>
      <c r="I90" s="20" t="inlineStr">
        <is>
          <t>Onderzoek &amp; training</t>
        </is>
      </c>
      <c r="J90" s="20" t="n"/>
      <c r="K90" s="20" t="inlineStr">
        <is>
          <t>Gemeente / regio</t>
        </is>
      </c>
      <c r="L90" s="20" t="inlineStr">
        <is>
          <t>n.v.t.</t>
        </is>
      </c>
      <c r="M90" s="20" t="inlineStr">
        <is>
          <t>GO</t>
        </is>
      </c>
      <c r="N90" s="20" t="inlineStr">
        <is>
          <t>4 Operationeel</t>
        </is>
      </c>
      <c r="O90" s="20" t="inlineStr">
        <is>
          <t>NLDT</t>
        </is>
      </c>
      <c r="P90" s="20" t="inlineStr">
        <is>
          <t>NLDT</t>
        </is>
      </c>
      <c r="Q90" s="20" t="n"/>
      <c r="R90" s="20" t="inlineStr">
        <is>
          <t>VRO, Geonovum, VNG</t>
        </is>
      </c>
      <c r="S90" s="20" t="inlineStr">
        <is>
          <t>Trekker</t>
        </is>
      </c>
      <c r="T90" s="20" t="inlineStr">
        <is>
          <t>Actief</t>
        </is>
      </c>
      <c r="U90" s="20" t="inlineStr">
        <is>
          <t>Communityformat (webinars, communitydag)</t>
        </is>
      </c>
      <c r="V90" s="20" t="inlineStr">
        <is>
          <t>https://www.zichtopnl.nl/digitaletweeling/doe+mee+met+dt/default.aspx</t>
        </is>
      </c>
      <c r="W90" s="20" t="n">
        <v>52.16</v>
      </c>
      <c r="X90" s="20" t="n">
        <v>5.39</v>
      </c>
      <c r="Y90" s="20" t="inlineStr">
        <is>
          <t>v4 of eerder</t>
        </is>
      </c>
      <c r="Z90" s="23" t="inlineStr">
        <is>
          <t>nee</t>
        </is>
      </c>
      <c r="AA90" s="20" t="inlineStr">
        <is>
          <t>Ecosysteem</t>
        </is>
      </c>
      <c r="AB90" s="20" t="inlineStr">
        <is>
          <t>n.v.t.</t>
        </is>
      </c>
      <c r="AC90" s="20" t="inlineStr">
        <is>
          <t>n.v.t.</t>
        </is>
      </c>
      <c r="AD90" s="20" t="inlineStr">
        <is>
          <t>-</t>
        </is>
      </c>
      <c r="AE90" s="20" t="inlineStr">
        <is>
          <t>n.v.t.</t>
        </is>
      </c>
      <c r="AF90" s="20" t="inlineStr">
        <is>
          <t>Trekker/eigenaar</t>
        </is>
      </c>
      <c r="AG90" s="20" t="inlineStr">
        <is>
          <t>B primaire bron</t>
        </is>
      </c>
    </row>
    <row r="91" ht="68.65000000000001" customHeight="1" s="15">
      <c r="A91" s="20" t="inlineStr">
        <is>
          <t>DT-090</t>
        </is>
      </c>
      <c r="B91" s="20" t="inlineStr">
        <is>
          <t>C</t>
        </is>
      </c>
      <c r="C91" s="20" t="inlineStr">
        <is>
          <t>Samenwerking of kennis (NL)</t>
        </is>
      </c>
      <c r="D91" s="20" t="inlineStr">
        <is>
          <t>Nationaal Expertisecentrum Woningbouw: digital twinning in de woningbouwopgave</t>
        </is>
      </c>
      <c r="E91" s="20" t="inlineStr">
        <is>
          <t>GO</t>
        </is>
      </c>
      <c r="F91" s="20" t="inlineStr">
        <is>
          <t>NL</t>
        </is>
      </c>
      <c r="G91" s="20" t="inlineStr">
        <is>
          <t>NL</t>
        </is>
      </c>
      <c r="H91" s="20" t="inlineStr">
        <is>
          <t>Samenwerking/kennis</t>
        </is>
      </c>
      <c r="I91" s="20" t="inlineStr">
        <is>
          <t>Gezamenlijke besluitvorming</t>
        </is>
      </c>
      <c r="J91" s="20" t="inlineStr">
        <is>
          <t>Scenario &amp; planning</t>
        </is>
      </c>
      <c r="K91" s="20" t="inlineStr">
        <is>
          <t>Gemeente / regio</t>
        </is>
      </c>
      <c r="L91" s="20" t="inlineStr">
        <is>
          <t>n.v.t.</t>
        </is>
      </c>
      <c r="M91" s="20" t="inlineStr">
        <is>
          <t>GO (energie als een van de domeinen)</t>
        </is>
      </c>
      <c r="N91" s="20" t="inlineStr">
        <is>
          <t>4 Operationeel</t>
        </is>
      </c>
      <c r="O91" s="20" t="inlineStr">
        <is>
          <t>NLDT; Samenwerkingsagenda Toekomstbestendige Gebiedsontwikkeling</t>
        </is>
      </c>
      <c r="P91" s="20" t="inlineStr">
        <is>
          <t>NLDT</t>
        </is>
      </c>
      <c r="Q91" s="20" t="n"/>
      <c r="R91" s="20" t="inlineStr">
        <is>
          <t>VNG en Platform31 (programma Uitvoeringskracht Woningbouw); verwijst naar Zicht op Nederland (BZK), Geonovum, DMI, digiGO en Stichting Digitale Tweeling Nederland</t>
        </is>
      </c>
      <c r="S91" s="20" t="inlineStr">
        <is>
          <t>Trekker</t>
        </is>
      </c>
      <c r="T91" s="20" t="inlineStr">
        <is>
          <t>Kennisartikel bijgewerkt 29-9-2026; vertaalt landelijke kennis naar handvatten voor gemeenten</t>
        </is>
      </c>
      <c r="U91" s="20" t="inlineStr">
        <is>
          <t>Kanaal naar gemeenten voor de woningbouwopgave; energie (en netcongestie) wordt genoemd maar niet uitgewerkt: kans om energie-use cases hier te laten landen</t>
        </is>
      </c>
      <c r="V91" s="20" t="inlineStr">
        <is>
          <t>https://expertisecentrumwoningbouw.nl/artikelen/digital-twinning-de-woningbouwopgave</t>
        </is>
      </c>
      <c r="W91" s="20" t="n">
        <v>52.08</v>
      </c>
      <c r="X91" s="20" t="n">
        <v>4.31</v>
      </c>
      <c r="Y91" s="20" t="inlineStr">
        <is>
          <t>v5</t>
        </is>
      </c>
      <c r="Z91" s="23" t="inlineStr">
        <is>
          <t>nee</t>
        </is>
      </c>
      <c r="AA91" s="20" t="inlineStr">
        <is>
          <t>Ecosysteem</t>
        </is>
      </c>
      <c r="AB91" s="20" t="inlineStr">
        <is>
          <t>n.v.t.</t>
        </is>
      </c>
      <c r="AC91" s="20" t="inlineStr">
        <is>
          <t>n.v.t.</t>
        </is>
      </c>
      <c r="AD91" s="20" t="inlineStr">
        <is>
          <t>-</t>
        </is>
      </c>
      <c r="AE91" s="20" t="inlineStr">
        <is>
          <t>n.v.t.</t>
        </is>
      </c>
      <c r="AF91" s="20" t="inlineStr">
        <is>
          <t>Trekker/eigenaar</t>
        </is>
      </c>
      <c r="AG91" s="20" t="inlineStr">
        <is>
          <t>B primaire bron</t>
        </is>
      </c>
    </row>
    <row r="92" ht="28.35" customHeight="1" s="15">
      <c r="A92" s="20" t="inlineStr">
        <is>
          <t>DT-091</t>
        </is>
      </c>
      <c r="B92" s="20" t="inlineStr">
        <is>
          <t>C</t>
        </is>
      </c>
      <c r="C92" s="20" t="inlineStr">
        <is>
          <t>Samenwerking of kennis (NL)</t>
        </is>
      </c>
      <c r="D92" s="20" t="inlineStr">
        <is>
          <t>DMI-ecosysteem (Dutch Metropolitan Innovations)</t>
        </is>
      </c>
      <c r="E92" s="20" t="inlineStr">
        <is>
          <t>GO</t>
        </is>
      </c>
      <c r="F92" s="20" t="inlineStr">
        <is>
          <t>NL</t>
        </is>
      </c>
      <c r="G92" s="20" t="inlineStr">
        <is>
          <t>NL</t>
        </is>
      </c>
      <c r="H92" s="20" t="inlineStr">
        <is>
          <t>Samenwerking/kennis</t>
        </is>
      </c>
      <c r="I92" s="20" t="inlineStr">
        <is>
          <t>Gezamenlijke besluitvorming</t>
        </is>
      </c>
      <c r="J92" s="20" t="inlineStr">
        <is>
          <t>Onderzoek &amp; training</t>
        </is>
      </c>
      <c r="K92" s="20" t="inlineStr">
        <is>
          <t>Gemeente / regio</t>
        </is>
      </c>
      <c r="L92" s="20" t="inlineStr">
        <is>
          <t>n.v.t.</t>
        </is>
      </c>
      <c r="M92" s="20" t="inlineStr">
        <is>
          <t>n.v.t.</t>
        </is>
      </c>
      <c r="N92" s="20" t="inlineStr">
        <is>
          <t>4 Operationeel</t>
        </is>
      </c>
      <c r="O92" s="20" t="inlineStr">
        <is>
          <t>NLDT</t>
        </is>
      </c>
      <c r="P92" s="20" t="inlineStr">
        <is>
          <t>NLDT</t>
        </is>
      </c>
      <c r="Q92" s="20" t="n"/>
      <c r="R92" s="20" t="inlineStr">
        <is>
          <t>IenW, VRO/BZK; publiek-private partners</t>
        </is>
      </c>
      <c r="S92" s="20" t="inlineStr">
        <is>
          <t>Trekker</t>
        </is>
      </c>
      <c r="T92" s="20" t="inlineStr">
        <is>
          <t>Lopend; federatief datadelen, afsprakenstelsel, DT-handboek, demodagen</t>
        </is>
      </c>
      <c r="U92" s="20" t="inlineStr">
        <is>
          <t>Bestaand publiek-privaat ecosysteem; ingang voor energie via DMI x ADE (DT-088); ontwikkelt een How-to-digital-twin-methode: een leeromgeving voor beleidsmakers, planners en experts volgens de NLDT-principes, met casuïstiek en functieprofielen; use cases PIOR (ruimteclaims, Eindhoven, 2024) en Sociale Atlas (sociaal domein, Alkmaar, 2024); energie staat in een apart thema zonder twin-toepassing</t>
        </is>
      </c>
      <c r="V92" s="20" t="inlineStr">
        <is>
          <t>https://dmi-ecosysteem.nl/blog/tag/digital-twins/ ; https://dmi-ecosysteem.nl/thema-digital-twins/</t>
        </is>
      </c>
      <c r="W92" s="20" t="n">
        <v>52.08</v>
      </c>
      <c r="X92" s="20" t="n">
        <v>4.31</v>
      </c>
      <c r="Y92" s="20" t="inlineStr">
        <is>
          <t>v6</t>
        </is>
      </c>
      <c r="Z92" s="23" t="inlineStr">
        <is>
          <t>nee</t>
        </is>
      </c>
      <c r="AA92" s="20" t="inlineStr">
        <is>
          <t>Ecosysteem</t>
        </is>
      </c>
      <c r="AB92" s="20" t="inlineStr">
        <is>
          <t>n.v.t.</t>
        </is>
      </c>
      <c r="AC92" s="20" t="inlineStr">
        <is>
          <t>n.v.t.</t>
        </is>
      </c>
      <c r="AD92" s="20" t="inlineStr">
        <is>
          <t>-</t>
        </is>
      </c>
      <c r="AE92" s="20" t="inlineStr">
        <is>
          <t>n.v.t.</t>
        </is>
      </c>
      <c r="AF92" s="20" t="inlineStr">
        <is>
          <t>Trekker/eigenaar</t>
        </is>
      </c>
      <c r="AG92" s="20" t="inlineStr">
        <is>
          <t>B primaire bron</t>
        </is>
      </c>
    </row>
    <row r="93" ht="68.65000000000001" customHeight="1" s="15">
      <c r="A93" s="20" t="inlineStr">
        <is>
          <t>DT-092</t>
        </is>
      </c>
      <c r="B93" s="20" t="inlineStr">
        <is>
          <t>C</t>
        </is>
      </c>
      <c r="C93" s="20" t="inlineStr">
        <is>
          <t>Samenwerking of kennis (NL)</t>
        </is>
      </c>
      <c r="D93" s="20" t="inlineStr">
        <is>
          <t>Dutch Digital Twin AppStore (DDTAS)</t>
        </is>
      </c>
      <c r="E93" s="20" t="inlineStr">
        <is>
          <t>GO</t>
        </is>
      </c>
      <c r="F93" s="20" t="inlineStr">
        <is>
          <t>NL</t>
        </is>
      </c>
      <c r="G93" s="20" t="inlineStr">
        <is>
          <t>NL</t>
        </is>
      </c>
      <c r="H93" s="20" t="inlineStr">
        <is>
          <t>Samenwerking/kennis</t>
        </is>
      </c>
      <c r="I93" s="20" t="inlineStr">
        <is>
          <t>Onderzoek &amp; training</t>
        </is>
      </c>
      <c r="J93" s="20" t="inlineStr">
        <is>
          <t>Gezamenlijke besluitvorming</t>
        </is>
      </c>
      <c r="K93" s="20" t="inlineStr">
        <is>
          <t>Gemeente / regio</t>
        </is>
      </c>
      <c r="L93" s="20" t="inlineStr">
        <is>
          <t>n.v.t.</t>
        </is>
      </c>
      <c r="M93" s="20" t="inlineStr">
        <is>
          <t>n.v.t.</t>
        </is>
      </c>
      <c r="N93" s="20" t="inlineStr">
        <is>
          <t>1 Verkenning</t>
        </is>
      </c>
      <c r="O93" s="20" t="inlineStr">
        <is>
          <t>NLDT</t>
        </is>
      </c>
      <c r="P93" s="20" t="inlineStr">
        <is>
          <t>NLDT</t>
        </is>
      </c>
      <c r="Q93" s="20" t="n"/>
      <c r="R93" s="20" t="inlineStr">
        <is>
          <t>VRO, WE Labs, DMI, Geonovum</t>
        </is>
      </c>
      <c r="S93" s="20" t="inlineStr">
        <is>
          <t>Trekker</t>
        </is>
      </c>
      <c r="T93" s="20" t="inlineStr">
        <is>
          <t>Verkenning afgerond mei 2025; expertview bij programmaraad nLDT</t>
        </is>
      </c>
      <c r="U93" s="20" t="inlineStr">
        <is>
          <t>Marktplaats met trustcriteria en accreditatie door TO2-instellingen; hub-spoke met Geonovum; fasering 2025-2027; enige NL-voorstel voor validatie van twins (H27); energie/netcongestie als behoeftegebied</t>
        </is>
      </c>
      <c r="V93" s="20" t="inlineStr">
        <is>
          <t>https://www.welabs.nl/projecten.php?id=164</t>
        </is>
      </c>
      <c r="W93" s="20" t="n">
        <v>52.08</v>
      </c>
      <c r="X93" s="20" t="n">
        <v>4.31</v>
      </c>
      <c r="Y93" s="20" t="inlineStr">
        <is>
          <t>v6</t>
        </is>
      </c>
      <c r="Z93" s="23" t="inlineStr">
        <is>
          <t>nee</t>
        </is>
      </c>
      <c r="AA93" s="20" t="inlineStr">
        <is>
          <t>Ecosysteem</t>
        </is>
      </c>
      <c r="AB93" s="20" t="inlineStr">
        <is>
          <t>n.v.t.</t>
        </is>
      </c>
      <c r="AC93" s="20" t="inlineStr">
        <is>
          <t>n.v.t.</t>
        </is>
      </c>
      <c r="AD93" s="20" t="inlineStr">
        <is>
          <t>-</t>
        </is>
      </c>
      <c r="AE93" s="20" t="inlineStr">
        <is>
          <t>n.v.t.</t>
        </is>
      </c>
      <c r="AF93" s="20" t="inlineStr">
        <is>
          <t>Trekker/eigenaar</t>
        </is>
      </c>
      <c r="AG93" s="20" t="inlineStr">
        <is>
          <t>B primaire bron</t>
        </is>
      </c>
    </row>
    <row r="94" ht="28.35" customHeight="1" s="15">
      <c r="A94" s="20" t="inlineStr">
        <is>
          <t>DT-093</t>
        </is>
      </c>
      <c r="B94" s="20" t="inlineStr">
        <is>
          <t>C</t>
        </is>
      </c>
      <c r="C94" s="20" t="inlineStr">
        <is>
          <t>Samenwerking of kennis (NL)</t>
        </is>
      </c>
      <c r="D94" s="20" t="inlineStr">
        <is>
          <t>VNG/Alkemio Digital Twin Community</t>
        </is>
      </c>
      <c r="E94" s="20" t="inlineStr">
        <is>
          <t>GO</t>
        </is>
      </c>
      <c r="F94" s="20" t="inlineStr">
        <is>
          <t>NL</t>
        </is>
      </c>
      <c r="G94" s="20" t="inlineStr">
        <is>
          <t>NL</t>
        </is>
      </c>
      <c r="H94" s="20" t="inlineStr">
        <is>
          <t>Samenwerking/kennis</t>
        </is>
      </c>
      <c r="I94" s="20" t="inlineStr">
        <is>
          <t>Onderzoek &amp; training</t>
        </is>
      </c>
      <c r="J94" s="20" t="n"/>
      <c r="K94" s="20" t="inlineStr">
        <is>
          <t>Gemeente / regio</t>
        </is>
      </c>
      <c r="L94" s="20" t="inlineStr">
        <is>
          <t>n.v.t.</t>
        </is>
      </c>
      <c r="M94" s="20" t="inlineStr">
        <is>
          <t>n.v.t.</t>
        </is>
      </c>
      <c r="N94" s="20" t="inlineStr">
        <is>
          <t>4 Operationeel</t>
        </is>
      </c>
      <c r="O94" s="20" t="inlineStr">
        <is>
          <t>NLDT</t>
        </is>
      </c>
      <c r="P94" s="20" t="inlineStr">
        <is>
          <t>NLDT</t>
        </is>
      </c>
      <c r="Q94" s="20" t="n"/>
      <c r="R94" s="20" t="inlineStr">
        <is>
          <t>VNG, IPO, Waterschapshuis, Digicampus, Geonovum</t>
        </is>
      </c>
      <c r="S94" s="20" t="inlineStr">
        <is>
          <t>Trekker</t>
        </is>
      </c>
      <c r="T94" s="20" t="inlineStr">
        <is>
          <t>Opgegaan in de NLDT-community</t>
        </is>
      </c>
      <c r="U94" s="20" t="inlineStr">
        <is>
          <t>Catalogus van gemeentelijke toepassingen; voorloper van een register</t>
        </is>
      </c>
      <c r="V94" s="20" t="inlineStr">
        <is>
          <t>https://welcome.alkem.io/blog/2023-08-digital-twin-introduction/</t>
        </is>
      </c>
      <c r="W94" s="20" t="n">
        <v>52.08</v>
      </c>
      <c r="X94" s="20" t="n">
        <v>4.31</v>
      </c>
      <c r="Y94" s="20" t="inlineStr">
        <is>
          <t>v6</t>
        </is>
      </c>
      <c r="Z94" s="23" t="inlineStr">
        <is>
          <t>nee</t>
        </is>
      </c>
      <c r="AA94" s="20" t="inlineStr">
        <is>
          <t>Ecosysteem</t>
        </is>
      </c>
      <c r="AB94" s="20" t="inlineStr">
        <is>
          <t>n.v.t.</t>
        </is>
      </c>
      <c r="AC94" s="20" t="inlineStr">
        <is>
          <t>n.v.t.</t>
        </is>
      </c>
      <c r="AD94" s="20" t="inlineStr">
        <is>
          <t>-</t>
        </is>
      </c>
      <c r="AE94" s="20" t="inlineStr">
        <is>
          <t>n.v.t.</t>
        </is>
      </c>
      <c r="AF94" s="20" t="inlineStr">
        <is>
          <t>Trekker/eigenaar</t>
        </is>
      </c>
      <c r="AG94" s="20" t="inlineStr">
        <is>
          <t>B primaire bron</t>
        </is>
      </c>
    </row>
    <row r="95" ht="28.35" customHeight="1" s="15">
      <c r="A95" s="20" t="inlineStr">
        <is>
          <t>DT-094</t>
        </is>
      </c>
      <c r="B95" s="20" t="inlineStr">
        <is>
          <t>C</t>
        </is>
      </c>
      <c r="C95" s="20" t="inlineStr">
        <is>
          <t>Samenwerking of kennis (NL)</t>
        </is>
      </c>
      <c r="D95" s="20" t="inlineStr">
        <is>
          <t>De Peel: Rathenau-casus digitale tweeling in gebiedsontwikkeling</t>
        </is>
      </c>
      <c r="E95" s="20" t="inlineStr">
        <is>
          <t>Overig</t>
        </is>
      </c>
      <c r="F95" s="20" t="inlineStr">
        <is>
          <t>NL</t>
        </is>
      </c>
      <c r="G95" s="20" t="inlineStr">
        <is>
          <t>NL</t>
        </is>
      </c>
      <c r="H95" s="20" t="inlineStr">
        <is>
          <t>Samenwerking/kennis</t>
        </is>
      </c>
      <c r="I95" s="20" t="inlineStr">
        <is>
          <t>Gezamenlijke besluitvorming</t>
        </is>
      </c>
      <c r="J95" s="20" t="n"/>
      <c r="K95" s="20" t="inlineStr">
        <is>
          <t>Gemeente / regio</t>
        </is>
      </c>
      <c r="L95" s="20" t="inlineStr">
        <is>
          <t>n.v.t.</t>
        </is>
      </c>
      <c r="M95" s="20" t="inlineStr">
        <is>
          <t>n.v.t.</t>
        </is>
      </c>
      <c r="N95" s="20" t="inlineStr">
        <is>
          <t>1 Verkenning</t>
        </is>
      </c>
      <c r="O95" s="20" t="inlineStr">
        <is>
          <t>-</t>
        </is>
      </c>
      <c r="P95" s="20" t="inlineStr">
        <is>
          <t>-</t>
        </is>
      </c>
      <c r="Q95" s="20" t="n"/>
      <c r="R95" s="20" t="inlineStr">
        <is>
          <t>20 gemeenten, 3 waterschappen, 2 provincies; Rathenau Instituut</t>
        </is>
      </c>
      <c r="S95" s="20" t="inlineStr">
        <is>
          <t>Trekker</t>
        </is>
      </c>
      <c r="T95" s="20" t="inlineStr">
        <is>
          <t>Rapport nov. 2023</t>
        </is>
      </c>
      <c r="U95" s="20" t="inlineStr">
        <is>
          <t>Twin als 'gesprekspartner' in gebiedsontwikkeling (water, landbouw); lessen over besluitvorming</t>
        </is>
      </c>
      <c r="V95" s="20" t="inlineStr">
        <is>
          <t>https://ibestuur.nl/artikel/digitale-tweeling-als-gesprekspartner-in-gebiedsontwikkeling</t>
        </is>
      </c>
      <c r="W95" s="20" t="n">
        <v>51.48</v>
      </c>
      <c r="X95" s="20" t="n">
        <v>5.66</v>
      </c>
      <c r="Y95" s="20" t="inlineStr">
        <is>
          <t>v6</t>
        </is>
      </c>
      <c r="Z95" s="23" t="inlineStr">
        <is>
          <t>nee</t>
        </is>
      </c>
      <c r="AA95" s="20" t="inlineStr">
        <is>
          <t>Ecosysteem</t>
        </is>
      </c>
      <c r="AB95" s="20" t="inlineStr">
        <is>
          <t>n.v.t.</t>
        </is>
      </c>
      <c r="AC95" s="20" t="inlineStr">
        <is>
          <t>n.v.t.</t>
        </is>
      </c>
      <c r="AD95" s="20" t="inlineStr">
        <is>
          <t>-</t>
        </is>
      </c>
      <c r="AE95" s="20" t="inlineStr">
        <is>
          <t>n.v.t.</t>
        </is>
      </c>
      <c r="AF95" s="20" t="inlineStr">
        <is>
          <t>Trekker/eigenaar</t>
        </is>
      </c>
      <c r="AG95" s="20" t="inlineStr">
        <is>
          <t>C secundaire bron</t>
        </is>
      </c>
    </row>
    <row r="96" ht="55.2" customHeight="1" s="15">
      <c r="A96" s="20" t="inlineStr">
        <is>
          <t>DT-095</t>
        </is>
      </c>
      <c r="B96" s="20" t="inlineStr">
        <is>
          <t>C</t>
        </is>
      </c>
      <c r="C96" s="20" t="inlineStr">
        <is>
          <t>Samenwerking of kennis (NL)</t>
        </is>
      </c>
      <c r="D96" s="20" t="inlineStr">
        <is>
          <t>Provincie Utrecht: beleidsprocessen en bouwblokken voor digital twins</t>
        </is>
      </c>
      <c r="E96" s="20" t="inlineStr">
        <is>
          <t>GO</t>
        </is>
      </c>
      <c r="F96" s="20" t="inlineStr">
        <is>
          <t>NL</t>
        </is>
      </c>
      <c r="G96" s="20" t="inlineStr">
        <is>
          <t>NL</t>
        </is>
      </c>
      <c r="H96" s="20" t="inlineStr">
        <is>
          <t>Samenwerking/kennis</t>
        </is>
      </c>
      <c r="I96" s="20" t="inlineStr">
        <is>
          <t>Gezamenlijke besluitvorming</t>
        </is>
      </c>
      <c r="J96" s="20" t="inlineStr">
        <is>
          <t>Ontwerp &amp; engineering</t>
        </is>
      </c>
      <c r="K96" s="20" t="inlineStr">
        <is>
          <t>Gemeente / regio</t>
        </is>
      </c>
      <c r="L96" s="20" t="inlineStr">
        <is>
          <t>n.v.t.</t>
        </is>
      </c>
      <c r="M96" s="20" t="inlineStr">
        <is>
          <t>n.v.t.</t>
        </is>
      </c>
      <c r="N96" s="20" t="inlineStr">
        <is>
          <t>1 Verkenning</t>
        </is>
      </c>
      <c r="O96" s="20" t="inlineStr">
        <is>
          <t>NLDT</t>
        </is>
      </c>
      <c r="P96" s="20" t="inlineStr">
        <is>
          <t>NLDT</t>
        </is>
      </c>
      <c r="Q96" s="20" t="n"/>
      <c r="R96" s="20" t="inlineStr">
        <is>
          <t>Provincie Utrecht, Geonovum</t>
        </is>
      </c>
      <c r="S96" s="20" t="inlineStr">
        <is>
          <t>Trekker</t>
        </is>
      </c>
      <c r="T96" s="20" t="inlineStr">
        <is>
          <t>Rapport v1.3, 7-11-2024; 16 beleidsbouwblokken afgeleid van 64 DTC-capabilities</t>
        </is>
      </c>
      <c r="U96" s="20" t="inlineStr">
        <is>
          <t>Koppelt beleidsprocessen aan twin-capabilities; methode bruikbaar voor energiebeleid</t>
        </is>
      </c>
      <c r="V96" s="20" t="inlineStr">
        <is>
          <t>https://www.geonovum.nl/uploads/documents/Eindrapport%20Advies%20Beleid%20en%20Digital%20Twins%20-%20provincie%20Utrecht%20v1.3d.pdf</t>
        </is>
      </c>
      <c r="W96" s="20" t="n">
        <v>52.09</v>
      </c>
      <c r="X96" s="20" t="n">
        <v>5.12</v>
      </c>
      <c r="Y96" s="20" t="inlineStr">
        <is>
          <t>v6</t>
        </is>
      </c>
      <c r="Z96" s="23" t="inlineStr">
        <is>
          <t>nee</t>
        </is>
      </c>
      <c r="AA96" s="20" t="inlineStr">
        <is>
          <t>Ecosysteem</t>
        </is>
      </c>
      <c r="AB96" s="20" t="inlineStr">
        <is>
          <t>n.v.t.</t>
        </is>
      </c>
      <c r="AC96" s="20" t="inlineStr">
        <is>
          <t>n.v.t.</t>
        </is>
      </c>
      <c r="AD96" s="20" t="inlineStr">
        <is>
          <t>-</t>
        </is>
      </c>
      <c r="AE96" s="20" t="inlineStr">
        <is>
          <t>n.v.t.</t>
        </is>
      </c>
      <c r="AF96" s="20" t="inlineStr">
        <is>
          <t>Trekker/eigenaar</t>
        </is>
      </c>
      <c r="AG96" s="20" t="inlineStr">
        <is>
          <t>B primaire bron</t>
        </is>
      </c>
    </row>
    <row r="97" ht="68.65000000000001" customHeight="1" s="15">
      <c r="A97" s="20" t="inlineStr">
        <is>
          <t>DT-096</t>
        </is>
      </c>
      <c r="B97" s="20" t="inlineStr">
        <is>
          <t>C</t>
        </is>
      </c>
      <c r="C97" s="20" t="inlineStr">
        <is>
          <t>Samenwerking of kennis (NL)</t>
        </is>
      </c>
      <c r="D97" s="20" t="inlineStr">
        <is>
          <t>Inventarisatie Architectuur Data Ecosystemen t.b.v. CDO IenW (Geonovum)</t>
        </is>
      </c>
      <c r="E97" s="20" t="inlineStr">
        <is>
          <t>Overig</t>
        </is>
      </c>
      <c r="F97" s="20" t="inlineStr">
        <is>
          <t>NL</t>
        </is>
      </c>
      <c r="G97" s="20" t="inlineStr">
        <is>
          <t>NL</t>
        </is>
      </c>
      <c r="H97" s="20" t="inlineStr">
        <is>
          <t>Samenwerking/kennis</t>
        </is>
      </c>
      <c r="I97" s="20" t="inlineStr">
        <is>
          <t>Gezamenlijke besluitvorming</t>
        </is>
      </c>
      <c r="J97" s="20" t="inlineStr">
        <is>
          <t>Ontwerp &amp; engineering</t>
        </is>
      </c>
      <c r="K97" s="20" t="inlineStr">
        <is>
          <t>Net / nationaal systeem</t>
        </is>
      </c>
      <c r="L97" s="20" t="inlineStr">
        <is>
          <t>n.v.t.</t>
        </is>
      </c>
      <c r="M97" s="20" t="inlineStr">
        <is>
          <t>n.v.t.</t>
        </is>
      </c>
      <c r="N97" s="20" t="inlineStr">
        <is>
          <t>3 Demonstratie/lab</t>
        </is>
      </c>
      <c r="O97" s="20" t="inlineStr">
        <is>
          <t>DSSC; NLDT; DSGO</t>
        </is>
      </c>
      <c r="P97" s="20" t="inlineStr">
        <is>
          <t>DSSC;NLDT;DSGO</t>
        </is>
      </c>
      <c r="Q97" s="20" t="inlineStr">
        <is>
          <t>BS-DSP;BS-FSC;BS-ISHARE;BS-DCAT;BS-MIM</t>
        </is>
      </c>
      <c r="R97" s="20" t="inlineStr">
        <is>
          <t>Geonovum i.o.v. CDO IenW; architecten van tien data-ecosystemen</t>
        </is>
      </c>
      <c r="S97" s="20" t="inlineStr">
        <is>
          <t>Trekker</t>
        </is>
      </c>
      <c r="T97" s="20" t="inlineStr">
        <is>
          <t>Eindrapport 17-4-2025; vijf samenwerkingsscenario's</t>
        </is>
      </c>
      <c r="U97" s="20" t="inlineStr">
        <is>
          <t>Tien data-ecosystemen langs DSSC-bouwblokken; eerste gemeenschappelijke functies: vertrouwen, publicatie en vindbaarheid, toegangs- en gebruiksbeleid; energie en Het Normo ontbreken (H28)</t>
        </is>
      </c>
      <c r="V97" s="20" t="inlineStr">
        <is>
          <t>Eindrapport Inventarisatie Architectuur Data Ecosystemen tbv CDO IenW (Geonovum, 17-4-2025)</t>
        </is>
      </c>
      <c r="W97" s="20" t="n">
        <v>52.16</v>
      </c>
      <c r="X97" s="20" t="n">
        <v>5.39</v>
      </c>
      <c r="Y97" s="20" t="inlineStr">
        <is>
          <t>v12</t>
        </is>
      </c>
      <c r="Z97" s="23" t="inlineStr">
        <is>
          <t>nee</t>
        </is>
      </c>
      <c r="AA97" s="20" t="inlineStr">
        <is>
          <t>Ecosysteem</t>
        </is>
      </c>
      <c r="AB97" s="20" t="inlineStr">
        <is>
          <t>n.v.t.</t>
        </is>
      </c>
      <c r="AC97" s="20" t="inlineStr">
        <is>
          <t>n.v.t.</t>
        </is>
      </c>
      <c r="AD97" s="20" t="inlineStr">
        <is>
          <t>-</t>
        </is>
      </c>
      <c r="AE97" s="20" t="inlineStr">
        <is>
          <t>n.v.t.</t>
        </is>
      </c>
      <c r="AF97" s="20" t="inlineStr">
        <is>
          <t>Trekker/eigenaar</t>
        </is>
      </c>
      <c r="AG97" s="20" t="inlineStr">
        <is>
          <t>B primaire bron</t>
        </is>
      </c>
    </row>
    <row r="98" ht="41.75" customHeight="1" s="15">
      <c r="A98" s="20" t="inlineStr">
        <is>
          <t>DT-097</t>
        </is>
      </c>
      <c r="B98" s="20" t="inlineStr">
        <is>
          <t>C</t>
        </is>
      </c>
      <c r="C98" s="20" t="inlineStr">
        <is>
          <t>Samenwerking of kennis (NL)</t>
        </is>
      </c>
      <c r="D98" s="20" t="inlineStr">
        <is>
          <t>Programma Innovatie en Opschaling Woningbouw: blauwdruk datagedreven gebiedsontwikkeling (minimaal 10 gemeenten)</t>
        </is>
      </c>
      <c r="E98" s="20" t="inlineStr">
        <is>
          <t>GO</t>
        </is>
      </c>
      <c r="F98" s="20" t="inlineStr">
        <is>
          <t>NL</t>
        </is>
      </c>
      <c r="G98" s="20" t="inlineStr">
        <is>
          <t>NL</t>
        </is>
      </c>
      <c r="H98" s="20" t="inlineStr">
        <is>
          <t>Samenwerking/kennis</t>
        </is>
      </c>
      <c r="I98" s="20" t="inlineStr">
        <is>
          <t>Scenario &amp; planning</t>
        </is>
      </c>
      <c r="J98" s="20" t="inlineStr">
        <is>
          <t>Gezamenlijke besluitvorming</t>
        </is>
      </c>
      <c r="K98" s="20" t="inlineStr">
        <is>
          <t>Gemeente / regio</t>
        </is>
      </c>
      <c r="L98" s="20" t="inlineStr">
        <is>
          <t>n.v.t.</t>
        </is>
      </c>
      <c r="M98" s="20" t="inlineStr">
        <is>
          <t>n.v.t.</t>
        </is>
      </c>
      <c r="N98" s="20" t="inlineStr">
        <is>
          <t>1 Verkenning</t>
        </is>
      </c>
      <c r="O98" s="20" t="inlineStr">
        <is>
          <t>-</t>
        </is>
      </c>
      <c r="P98" s="20" t="inlineStr">
        <is>
          <t>-</t>
        </is>
      </c>
      <c r="Q98" s="20" t="n"/>
      <c r="R98" s="20" t="inlineStr">
        <is>
          <t>Ministerie VRO; minimaal tien gemeenten (afspraak Woontop)</t>
        </is>
      </c>
      <c r="S98" s="20" t="inlineStr">
        <is>
          <t>Trekker</t>
        </is>
      </c>
      <c r="T98" s="20" t="inlineStr">
        <is>
          <t>Afspraak uit de Woontop; pilots met digital twins genoemd in DDTAS-verkenning; status te verifiëren</t>
        </is>
      </c>
      <c r="U98" s="20" t="inlineStr">
        <is>
          <t>Kandidaat-ingang voor de use case netcongestie bij woningbouwlocaties (les 5)</t>
        </is>
      </c>
      <c r="V98" s="20" t="inlineStr">
        <is>
          <t>De digitale tweeling in de kern van de dagelijkse operatie en beleid, v0.8 (WE Labs i.o.v. VRO, 2025)</t>
        </is>
      </c>
      <c r="W98" s="20" t="n">
        <v>52.08</v>
      </c>
      <c r="X98" s="20" t="n">
        <v>4.31</v>
      </c>
      <c r="Y98" s="20" t="inlineStr">
        <is>
          <t>v12</t>
        </is>
      </c>
      <c r="Z98" s="23" t="inlineStr">
        <is>
          <t>nee</t>
        </is>
      </c>
      <c r="AA98" s="20" t="inlineStr">
        <is>
          <t>Ecosysteem</t>
        </is>
      </c>
      <c r="AB98" s="20" t="inlineStr">
        <is>
          <t>n.v.t.</t>
        </is>
      </c>
      <c r="AC98" s="20" t="inlineStr">
        <is>
          <t>n.v.t.</t>
        </is>
      </c>
      <c r="AD98" s="20" t="inlineStr">
        <is>
          <t>-</t>
        </is>
      </c>
      <c r="AE98" s="20" t="inlineStr">
        <is>
          <t>n.v.t.</t>
        </is>
      </c>
      <c r="AF98" s="20" t="inlineStr">
        <is>
          <t>Trekker/eigenaar</t>
        </is>
      </c>
      <c r="AG98" s="20" t="inlineStr">
        <is>
          <t>B primaire bron</t>
        </is>
      </c>
    </row>
    <row r="99" ht="55.2" customHeight="1" s="15">
      <c r="A99" s="20" t="inlineStr">
        <is>
          <t>DT-098</t>
        </is>
      </c>
      <c r="B99" s="20" t="inlineStr">
        <is>
          <t>E</t>
        </is>
      </c>
      <c r="C99" s="20" t="inlineStr">
        <is>
          <t>EU-breed programma of netwerk</t>
        </is>
      </c>
      <c r="D99" s="20" t="inlineStr">
        <is>
          <t>TwinEU</t>
        </is>
      </c>
      <c r="E99" s="20" t="inlineStr">
        <is>
          <t>Energie</t>
        </is>
      </c>
      <c r="F99" s="20" t="inlineStr">
        <is>
          <t>Europees</t>
        </is>
      </c>
      <c r="G99" s="20" t="inlineStr">
        <is>
          <t>EU</t>
        </is>
      </c>
      <c r="H99" s="20" t="inlineStr">
        <is>
          <t>Faciliteit/R&amp;D</t>
        </is>
      </c>
      <c r="I99" s="20" t="inlineStr">
        <is>
          <t>Inzicht &amp; monitoring</t>
        </is>
      </c>
      <c r="J99" s="20" t="inlineStr">
        <is>
          <t>Sturing &amp; optimalisatie, Onderzoek &amp; training</t>
        </is>
      </c>
      <c r="K99" s="20" t="inlineStr">
        <is>
          <t>Europees</t>
        </is>
      </c>
      <c r="L99" s="20" t="inlineStr">
        <is>
          <t>Tweeling (federatief)</t>
        </is>
      </c>
      <c r="M99" s="20" t="inlineStr">
        <is>
          <t>Elektriciteit</t>
        </is>
      </c>
      <c r="N99" s="20" t="inlineStr">
        <is>
          <t>3 Demonstratie/lab</t>
        </is>
      </c>
      <c r="O99" s="20" t="inlineStr">
        <is>
          <t>EU</t>
        </is>
      </c>
      <c r="P99" s="20" t="inlineStr">
        <is>
          <t>HORIZON;ENTSOE;CEEDS</t>
        </is>
      </c>
      <c r="Q99" s="20" t="n"/>
      <c r="R99" s="20" t="inlineStr">
        <is>
          <t>Fraunhofer (coördinator); 75 partners uit 15 landen, waaronder TU Delft, Alliander en Jedlix</t>
        </is>
      </c>
      <c r="S99" s="20" t="inlineStr">
        <is>
          <t>TU Delft, Alliander, Jedlix (partners)</t>
        </is>
      </c>
      <c r="T99" s="20" t="inlineStr">
        <is>
          <t>Looptijd 1-1-2024 t/m 31-12-2026; €25,2 mln (EU €20 mln); 8 pilots in 11 landen, o.a. Iberisch schiereiland, Griekenland/Cyprus, Hongarije, Bulgarije</t>
        </is>
      </c>
      <c r="U99" s="20" t="inlineStr">
        <is>
          <t>Federatieconcept lokale twins</t>
        </is>
      </c>
      <c r="V99" s="20" t="inlineStr">
        <is>
          <t>https://cordis.europa.eu/project/id/101136119</t>
        </is>
      </c>
      <c r="W99" s="20" t="n">
        <v>48.14</v>
      </c>
      <c r="X99" s="20" t="n">
        <v>11.58</v>
      </c>
      <c r="Y99" s="20" t="inlineStr">
        <is>
          <t>v4</t>
        </is>
      </c>
      <c r="Z99" s="23" t="inlineStr">
        <is>
          <t>nee</t>
        </is>
      </c>
      <c r="AA99" s="20" t="inlineStr">
        <is>
          <t>Twin-instantie</t>
        </is>
      </c>
      <c r="AB99" s="20" t="inlineStr">
        <is>
          <t>Tweeling</t>
        </is>
      </c>
      <c r="AC99" s="20" t="inlineStr">
        <is>
          <t>Gerealiseerd</t>
        </is>
      </c>
      <c r="AD99" s="20" t="inlineStr">
        <is>
          <t>6 Federatieve tweeling</t>
        </is>
      </c>
      <c r="AE99" s="20" t="inlineStr">
        <is>
          <t>Elektriciteit</t>
        </is>
      </c>
      <c r="AF99" s="20" t="inlineStr">
        <is>
          <t>Partner/deelnemer</t>
        </is>
      </c>
      <c r="AG99" s="20" t="inlineStr">
        <is>
          <t>B primaire bron</t>
        </is>
      </c>
    </row>
    <row r="100" ht="28.35" customHeight="1" s="15">
      <c r="A100" s="20" t="inlineStr">
        <is>
          <t>DT-099</t>
        </is>
      </c>
      <c r="B100" s="20" t="inlineStr">
        <is>
          <t>E</t>
        </is>
      </c>
      <c r="C100" s="20" t="inlineStr">
        <is>
          <t>EU-breed programma of netwerk</t>
        </is>
      </c>
      <c r="D100" s="20" t="inlineStr">
        <is>
          <t>ENTSO-E / DSO Entity: digital twin EU-net (use cases, federated approach, toolbox)</t>
        </is>
      </c>
      <c r="E100" s="20" t="inlineStr">
        <is>
          <t>Energie</t>
        </is>
      </c>
      <c r="F100" s="20" t="inlineStr">
        <is>
          <t>Europees</t>
        </is>
      </c>
      <c r="G100" s="20" t="inlineStr">
        <is>
          <t>EU</t>
        </is>
      </c>
      <c r="H100" s="20" t="inlineStr">
        <is>
          <t>Samenwerking/kennis</t>
        </is>
      </c>
      <c r="I100" s="20" t="inlineStr">
        <is>
          <t>Inzicht &amp; monitoring</t>
        </is>
      </c>
      <c r="J100" s="20" t="inlineStr">
        <is>
          <t>Scenario &amp; planning, Sturing &amp; optimalisatie</t>
        </is>
      </c>
      <c r="K100" s="20" t="inlineStr">
        <is>
          <t>Europees</t>
        </is>
      </c>
      <c r="L100" s="20" t="inlineStr">
        <is>
          <t>n.v.t.</t>
        </is>
      </c>
      <c r="M100" s="20" t="inlineStr">
        <is>
          <t>Elektriciteit</t>
        </is>
      </c>
      <c r="N100" s="20" t="inlineStr">
        <is>
          <t>2 Pilot/PoC</t>
        </is>
      </c>
      <c r="O100" s="20" t="inlineStr">
        <is>
          <t>EU; EU Roadmap actie 3</t>
        </is>
      </c>
      <c r="P100" s="20" t="inlineStr">
        <is>
          <t>ENTSOE;EU-RM26</t>
        </is>
      </c>
      <c r="Q100" s="20" t="inlineStr">
        <is>
          <t>BS-CIM</t>
        </is>
      </c>
      <c r="R100" s="20" t="inlineStr">
        <is>
          <t>ENTSO-E, EU DSO Entity</t>
        </is>
      </c>
      <c r="S100" s="20" t="inlineStr">
        <is>
          <t>TenneT en NL-DSO's via ENTSO-E/DSO Entity</t>
        </is>
      </c>
      <c r="T100" s="20" t="inlineStr">
        <is>
          <t>Use cases 30-1-2026; 'Towards a Federated Approach' 20-2-2026; toolbox medio 2026</t>
        </is>
      </c>
      <c r="U100" s="20" t="inlineStr">
        <is>
          <t>Federatieprincipes en volwassenheidsniveaus</t>
        </is>
      </c>
      <c r="V100" s="20" t="inlineStr">
        <is>
          <t>https://www.entsoe.eu/news/2026/01/30/joint-report-on-tso-dso-digital-twin-use-cases/</t>
        </is>
      </c>
      <c r="W100" s="20" t="n">
        <v>50.85</v>
      </c>
      <c r="X100" s="20" t="n">
        <v>4.35</v>
      </c>
      <c r="Y100" s="20" t="inlineStr">
        <is>
          <t>v4 of eerder</t>
        </is>
      </c>
      <c r="Z100" s="23" t="inlineStr">
        <is>
          <t>nee</t>
        </is>
      </c>
      <c r="AA100" s="20" t="inlineStr">
        <is>
          <t>Ecosysteem</t>
        </is>
      </c>
      <c r="AB100" s="20" t="inlineStr">
        <is>
          <t>n.v.t.</t>
        </is>
      </c>
      <c r="AC100" s="20" t="inlineStr">
        <is>
          <t>n.v.t.</t>
        </is>
      </c>
      <c r="AD100" s="20" t="inlineStr">
        <is>
          <t>-</t>
        </is>
      </c>
      <c r="AE100" s="20" t="inlineStr">
        <is>
          <t>Elektriciteit</t>
        </is>
      </c>
      <c r="AF100" s="20" t="inlineStr">
        <is>
          <t>Partner/deelnemer</t>
        </is>
      </c>
      <c r="AG100" s="20" t="inlineStr">
        <is>
          <t>B primaire bron</t>
        </is>
      </c>
    </row>
    <row r="101" ht="28.35" customHeight="1" s="15">
      <c r="A101" s="20" t="inlineStr">
        <is>
          <t>DT-100</t>
        </is>
      </c>
      <c r="B101" s="20" t="inlineStr">
        <is>
          <t>E</t>
        </is>
      </c>
      <c r="C101" s="20" t="inlineStr">
        <is>
          <t>EU-breed programma of netwerk</t>
        </is>
      </c>
      <c r="D101" s="20" t="inlineStr">
        <is>
          <t>DSO4DT</t>
        </is>
      </c>
      <c r="E101" s="20" t="inlineStr">
        <is>
          <t>Energie</t>
        </is>
      </c>
      <c r="F101" s="20" t="inlineStr">
        <is>
          <t>Europees</t>
        </is>
      </c>
      <c r="G101" s="20" t="inlineStr">
        <is>
          <t>EU</t>
        </is>
      </c>
      <c r="H101" s="20" t="inlineStr">
        <is>
          <t>Samenwerking/kennis</t>
        </is>
      </c>
      <c r="I101" s="20" t="inlineStr">
        <is>
          <t>Onderzoek &amp; training</t>
        </is>
      </c>
      <c r="J101" s="20" t="n"/>
      <c r="K101" s="20" t="inlineStr">
        <is>
          <t>Europees</t>
        </is>
      </c>
      <c r="L101" s="20" t="inlineStr">
        <is>
          <t>n.v.t.</t>
        </is>
      </c>
      <c r="M101" s="20" t="inlineStr">
        <is>
          <t>Elektriciteit</t>
        </is>
      </c>
      <c r="N101" s="20" t="inlineStr">
        <is>
          <t>2 Pilot/PoC</t>
        </is>
      </c>
      <c r="O101" s="20" t="inlineStr">
        <is>
          <t>EU</t>
        </is>
      </c>
      <c r="P101" s="20" t="inlineStr">
        <is>
          <t>ENTSOE</t>
        </is>
      </c>
      <c r="Q101" s="20" t="n"/>
      <c r="R101" s="20" t="inlineStr">
        <is>
          <t>EU DSO Entity</t>
        </is>
      </c>
      <c r="S101" s="20" t="inlineStr">
        <is>
          <t>NL-DSO's als leden DSO Entity</t>
        </is>
      </c>
      <c r="T101" s="20" t="inlineStr">
        <is>
          <t>2025-2027</t>
        </is>
      </c>
      <c r="U101" s="20" t="inlineStr">
        <is>
          <t>Kanaal voor NL-DSO's</t>
        </is>
      </c>
      <c r="V101" s="20" t="inlineStr">
        <is>
          <t>https://www.enlit.world/library/dso4dt-launched-to-advance-digital-twins-for-dsos</t>
        </is>
      </c>
      <c r="W101" s="20" t="n">
        <v>50.85</v>
      </c>
      <c r="X101" s="20" t="n">
        <v>4.35</v>
      </c>
      <c r="Y101" s="20" t="inlineStr">
        <is>
          <t>v4 of eerder</t>
        </is>
      </c>
      <c r="Z101" s="23" t="inlineStr">
        <is>
          <t>nee</t>
        </is>
      </c>
      <c r="AA101" s="20" t="inlineStr">
        <is>
          <t>Ecosysteem</t>
        </is>
      </c>
      <c r="AB101" s="20" t="inlineStr">
        <is>
          <t>n.v.t.</t>
        </is>
      </c>
      <c r="AC101" s="20" t="inlineStr">
        <is>
          <t>n.v.t.</t>
        </is>
      </c>
      <c r="AD101" s="20" t="inlineStr">
        <is>
          <t>-</t>
        </is>
      </c>
      <c r="AE101" s="20" t="inlineStr">
        <is>
          <t>Elektriciteit</t>
        </is>
      </c>
      <c r="AF101" s="20" t="inlineStr">
        <is>
          <t>Partner/deelnemer</t>
        </is>
      </c>
      <c r="AG101" s="20" t="inlineStr">
        <is>
          <t>C secundaire bron</t>
        </is>
      </c>
    </row>
    <row r="102" ht="41.75" customHeight="1" s="15">
      <c r="A102" s="20" t="inlineStr">
        <is>
          <t>DT-101</t>
        </is>
      </c>
      <c r="B102" s="20" t="inlineStr">
        <is>
          <t>E</t>
        </is>
      </c>
      <c r="C102" s="20" t="inlineStr">
        <is>
          <t>EU-breed programma of netwerk</t>
        </is>
      </c>
      <c r="D102" s="20" t="inlineStr">
        <is>
          <t>Destination Earth</t>
        </is>
      </c>
      <c r="E102" s="20" t="inlineStr">
        <is>
          <t>Overig</t>
        </is>
      </c>
      <c r="F102" s="20" t="inlineStr">
        <is>
          <t>Europees</t>
        </is>
      </c>
      <c r="G102" s="20" t="inlineStr">
        <is>
          <t>EU</t>
        </is>
      </c>
      <c r="H102" s="20" t="inlineStr">
        <is>
          <t>Faciliteit/R&amp;D</t>
        </is>
      </c>
      <c r="I102" s="20" t="inlineStr">
        <is>
          <t>Voorspellen</t>
        </is>
      </c>
      <c r="J102" s="20" t="inlineStr">
        <is>
          <t>Scenario &amp; planning</t>
        </is>
      </c>
      <c r="K102" s="20" t="inlineStr">
        <is>
          <t>Europees</t>
        </is>
      </c>
      <c r="L102" s="20" t="inlineStr">
        <is>
          <t>Tweeling</t>
        </is>
      </c>
      <c r="M102" s="20" t="inlineStr">
        <is>
          <t>Klimaat/weer</t>
        </is>
      </c>
      <c r="N102" s="20" t="inlineStr">
        <is>
          <t>4 Operationeel</t>
        </is>
      </c>
      <c r="O102" s="20" t="inlineStr">
        <is>
          <t>EU</t>
        </is>
      </c>
      <c r="P102" s="20" t="inlineStr">
        <is>
          <t>DESTINE</t>
        </is>
      </c>
      <c r="Q102" s="20" t="n"/>
      <c r="R102" s="20" t="inlineStr">
        <is>
          <t>ECMWF, EUMETSAT, ESA</t>
        </is>
      </c>
      <c r="S102" s="20" t="inlineStr">
        <is>
          <t>TenneT als gebruiker</t>
        </is>
      </c>
      <c r="T102" s="20" t="inlineStr">
        <is>
          <t>Fase 3: 2026-2028</t>
        </is>
      </c>
      <c r="U102" s="20" t="inlineStr">
        <is>
          <t>Klimaatdata voor netplanning</t>
        </is>
      </c>
      <c r="V102" s="20" t="inlineStr">
        <is>
          <t>https://www.ecmwf.int/en/about/media-centre/news/2026/destination-earth-moves-its-third-phase</t>
        </is>
      </c>
      <c r="W102" s="20" t="n">
        <v>50.73</v>
      </c>
      <c r="X102" s="20" t="n">
        <v>7.1</v>
      </c>
      <c r="Y102" s="20" t="inlineStr">
        <is>
          <t>v4 of eerder</t>
        </is>
      </c>
      <c r="Z102" s="23" t="inlineStr">
        <is>
          <t>nee</t>
        </is>
      </c>
      <c r="AA102" s="20" t="inlineStr">
        <is>
          <t>Twin-instantie</t>
        </is>
      </c>
      <c r="AB102" s="20" t="inlineStr">
        <is>
          <t>Tweeling</t>
        </is>
      </c>
      <c r="AC102" s="20" t="inlineStr">
        <is>
          <t>Gerealiseerd</t>
        </is>
      </c>
      <c r="AD102" s="20" t="inlineStr">
        <is>
          <t>5 Sturende tweeling</t>
        </is>
      </c>
      <c r="AE102" s="20" t="inlineStr">
        <is>
          <t>n.v.t.</t>
        </is>
      </c>
      <c r="AF102" s="20" t="inlineStr">
        <is>
          <t>Gebruiker</t>
        </is>
      </c>
      <c r="AG102" s="20" t="inlineStr">
        <is>
          <t>B primaire bron</t>
        </is>
      </c>
    </row>
    <row r="103" ht="28.35" customHeight="1" s="15">
      <c r="A103" s="20" t="inlineStr">
        <is>
          <t>DT-102</t>
        </is>
      </c>
      <c r="B103" s="20" t="inlineStr">
        <is>
          <t>E</t>
        </is>
      </c>
      <c r="C103" s="20" t="inlineStr">
        <is>
          <t>EU-breed programma of netwerk</t>
        </is>
      </c>
      <c r="D103" s="20" t="inlineStr">
        <is>
          <t>UK National Digital Twin Programme (o.a. NOVA)</t>
        </is>
      </c>
      <c r="E103" s="20" t="inlineStr">
        <is>
          <t>Overig</t>
        </is>
      </c>
      <c r="F103" s="20" t="inlineStr">
        <is>
          <t>Internationaal</t>
        </is>
      </c>
      <c r="G103" s="20" t="inlineStr">
        <is>
          <t>GB</t>
        </is>
      </c>
      <c r="H103" s="20" t="inlineStr">
        <is>
          <t>Kader</t>
        </is>
      </c>
      <c r="I103" s="20" t="inlineStr">
        <is>
          <t>Gezamenlijke besluitvorming</t>
        </is>
      </c>
      <c r="J103" s="20" t="n"/>
      <c r="K103" s="20" t="inlineStr">
        <is>
          <t>Net / nationaal systeem</t>
        </is>
      </c>
      <c r="L103" s="20" t="inlineStr">
        <is>
          <t>n.v.t.</t>
        </is>
      </c>
      <c r="M103" s="20" t="inlineStr">
        <is>
          <t>Infra, energie</t>
        </is>
      </c>
      <c r="N103" s="20" t="inlineStr">
        <is>
          <t>3 Demonstratie/lab</t>
        </is>
      </c>
      <c r="O103" s="20" t="inlineStr">
        <is>
          <t>Internationaal</t>
        </is>
      </c>
      <c r="P103" s="20" t="inlineStr">
        <is>
          <t>GEMINI</t>
        </is>
      </c>
      <c r="Q103" s="20" t="n"/>
      <c r="R103" s="20" t="inlineStr">
        <is>
          <t>UK Department for Business and Trade</t>
        </is>
      </c>
      <c r="S103" s="20" t="inlineStr">
        <is>
          <t>Geen; inspiratie voor DTFL-principes</t>
        </is>
      </c>
      <c r="T103" s="20" t="inlineStr">
        <is>
          <t>Lopend; energiedemonstrator Isle of Wight (zie DT-131); opvolger CDBB/Gemini Principles</t>
        </is>
      </c>
      <c r="U103" s="20" t="inlineStr">
        <is>
          <t>Integration Architecture; Gemini-principes</t>
        </is>
      </c>
      <c r="V103" s="20" t="inlineStr">
        <is>
          <t>https://ndtp.co.uk/</t>
        </is>
      </c>
      <c r="W103" s="20" t="n">
        <v>51.51</v>
      </c>
      <c r="X103" s="20" t="n">
        <v>-0.13</v>
      </c>
      <c r="Y103" s="20" t="inlineStr">
        <is>
          <t>v4</t>
        </is>
      </c>
      <c r="Z103" s="23" t="inlineStr">
        <is>
          <t>nee</t>
        </is>
      </c>
      <c r="AA103" s="20" t="inlineStr">
        <is>
          <t>Ecosysteem</t>
        </is>
      </c>
      <c r="AB103" s="20" t="inlineStr">
        <is>
          <t>n.v.t.</t>
        </is>
      </c>
      <c r="AC103" s="20" t="inlineStr">
        <is>
          <t>n.v.t.</t>
        </is>
      </c>
      <c r="AD103" s="20" t="inlineStr">
        <is>
          <t>-</t>
        </is>
      </c>
      <c r="AE103" s="20" t="inlineStr">
        <is>
          <t>n.v.t.</t>
        </is>
      </c>
      <c r="AF103" s="20" t="inlineStr">
        <is>
          <t>Geen</t>
        </is>
      </c>
      <c r="AG103" s="20" t="inlineStr">
        <is>
          <t>B primaire bron</t>
        </is>
      </c>
    </row>
    <row r="104" ht="41.75" customHeight="1" s="15">
      <c r="A104" s="20" t="inlineStr">
        <is>
          <t>DT-103</t>
        </is>
      </c>
      <c r="B104" s="20" t="inlineStr">
        <is>
          <t>E</t>
        </is>
      </c>
      <c r="C104" s="20" t="inlineStr">
        <is>
          <t>EU-breed programma of netwerk</t>
        </is>
      </c>
      <c r="D104" s="20" t="inlineStr">
        <is>
          <t>AI-EFFECT: Europese test- en experimenteerfaciliteit voor AI in energie</t>
        </is>
      </c>
      <c r="E104" s="20" t="inlineStr">
        <is>
          <t>Energie</t>
        </is>
      </c>
      <c r="F104" s="20" t="inlineStr">
        <is>
          <t>Europees</t>
        </is>
      </c>
      <c r="G104" s="20" t="inlineStr">
        <is>
          <t>EU</t>
        </is>
      </c>
      <c r="H104" s="20" t="inlineStr">
        <is>
          <t>Faciliteit/R&amp;D</t>
        </is>
      </c>
      <c r="I104" s="20" t="inlineStr">
        <is>
          <t>Onderzoek &amp; training</t>
        </is>
      </c>
      <c r="J104" s="20" t="inlineStr">
        <is>
          <t>Sturing &amp; optimalisatie</t>
        </is>
      </c>
      <c r="K104" s="20" t="inlineStr">
        <is>
          <t>Europees</t>
        </is>
      </c>
      <c r="L104" s="20" t="inlineStr">
        <is>
          <t>Tweeling (lab)</t>
        </is>
      </c>
      <c r="M104" s="20" t="inlineStr">
        <is>
          <t>Multi-commodity</t>
        </is>
      </c>
      <c r="N104" s="20" t="inlineStr">
        <is>
          <t>2 Pilot/PoC</t>
        </is>
      </c>
      <c r="O104" s="20" t="inlineStr">
        <is>
          <t>Horizon Europe; EU Roadmap Digitalisation &amp; AI</t>
        </is>
      </c>
      <c r="P104" s="20" t="inlineStr">
        <is>
          <t>HORIZON;EU-RM26</t>
        </is>
      </c>
      <c r="Q104" s="20" t="n"/>
      <c r="R104" s="20" t="inlineStr">
        <is>
          <t>TU Delft (trekker) met EPRI Europe; 19 partners, o.a. Enel en TenneT</t>
        </is>
      </c>
      <c r="S104" s="20" t="inlineStr">
        <is>
          <t>TU Delft (trekker, node Delft AI Energy Lab + Control Room of the Future), TenneT</t>
        </is>
      </c>
      <c r="T104" s="20" t="inlineStr">
        <is>
          <t>Loopt tot sept. 2027; demonstraties in NL, DK, PT en DE (multi-energie, congestie, efficiëntie, DER-integratie)</t>
        </is>
      </c>
      <c r="U104" s="20" t="inlineStr">
        <is>
          <t>Europese validatieomgeving die NL al trekt; logisch verbonden met DT-014 en de Nationale Faciliteit</t>
        </is>
      </c>
      <c r="V104" s="20" t="inlineStr">
        <is>
          <t>https://tudelft.nl/en/2024/eemcs/advancing-ai-integration-in-the-european-energy-sector</t>
        </is>
      </c>
      <c r="W104" s="20" t="n">
        <v>52</v>
      </c>
      <c r="X104" s="20" t="n">
        <v>4.37</v>
      </c>
      <c r="Y104" s="20" t="inlineStr">
        <is>
          <t>v5</t>
        </is>
      </c>
      <c r="Z104" s="23" t="inlineStr">
        <is>
          <t>nee</t>
        </is>
      </c>
      <c r="AA104" s="20" t="inlineStr">
        <is>
          <t>Twin-instantie</t>
        </is>
      </c>
      <c r="AB104" s="20" t="inlineStr">
        <is>
          <t>Tweeling</t>
        </is>
      </c>
      <c r="AC104" s="20" t="inlineStr">
        <is>
          <t>Lab</t>
        </is>
      </c>
      <c r="AD104" s="20" t="inlineStr">
        <is>
          <t>5 Sturende tweeling (lab)</t>
        </is>
      </c>
      <c r="AE104" s="20" t="inlineStr">
        <is>
          <t>Multi-commodity (dragers niet gespecificeerd)</t>
        </is>
      </c>
      <c r="AF104" s="20" t="inlineStr">
        <is>
          <t>Partner/deelnemer</t>
        </is>
      </c>
      <c r="AG104" s="20" t="inlineStr">
        <is>
          <t>B primaire bron</t>
        </is>
      </c>
    </row>
    <row r="105" ht="41.75" customHeight="1" s="15">
      <c r="A105" s="20" t="inlineStr">
        <is>
          <t>DT-104</t>
        </is>
      </c>
      <c r="B105" s="20" t="inlineStr">
        <is>
          <t>E</t>
        </is>
      </c>
      <c r="C105" s="20" t="inlineStr">
        <is>
          <t>EU-breed programma of netwerk</t>
        </is>
      </c>
      <c r="D105" s="20" t="inlineStr">
        <is>
          <t>GRID-PRO: programmeerbare onderstations met digital-twin-platform</t>
        </is>
      </c>
      <c r="E105" s="20" t="inlineStr">
        <is>
          <t>Energie</t>
        </is>
      </c>
      <c r="F105" s="20" t="inlineStr">
        <is>
          <t>Europees</t>
        </is>
      </c>
      <c r="G105" s="20" t="inlineStr">
        <is>
          <t>EU</t>
        </is>
      </c>
      <c r="H105" s="20" t="inlineStr">
        <is>
          <t>Faciliteit/R&amp;D</t>
        </is>
      </c>
      <c r="I105" s="20" t="inlineStr">
        <is>
          <t>Sturing &amp; optimalisatie</t>
        </is>
      </c>
      <c r="J105" s="20" t="inlineStr">
        <is>
          <t>Inzicht &amp; monitoring</t>
        </is>
      </c>
      <c r="K105" s="20" t="inlineStr">
        <is>
          <t>Asset / installatie</t>
        </is>
      </c>
      <c r="L105" s="20" t="inlineStr">
        <is>
          <t>Tweeling (platform)</t>
        </is>
      </c>
      <c r="M105" s="20" t="inlineStr">
        <is>
          <t>Elektriciteit</t>
        </is>
      </c>
      <c r="N105" s="20" t="inlineStr">
        <is>
          <t>1 Verkenning</t>
        </is>
      </c>
      <c r="O105" s="20" t="inlineStr">
        <is>
          <t>Horizon Europe; SGAM</t>
        </is>
      </c>
      <c r="P105" s="20" t="inlineStr">
        <is>
          <t>HORIZON;SGAM</t>
        </is>
      </c>
      <c r="Q105" s="20" t="inlineStr">
        <is>
          <t>BS-IEC61850</t>
        </is>
      </c>
      <c r="R105" s="20" t="inlineStr">
        <is>
          <t>University College Cork (coördinator), 23 deelnemers</t>
        </is>
      </c>
      <c r="S105" s="20" t="inlineStr">
        <is>
          <t>Geen NL-partners</t>
        </is>
      </c>
      <c r="T105" s="20" t="inlineStr">
        <is>
          <t>Start 1-1-2027 t/m 30-6-2030; €10,8 mln (EU €9,0 mln); demo's in IT, DE, GR en Zuidoost-Europa (9 pilots)</t>
        </is>
      </c>
      <c r="U105" s="20" t="inlineStr">
        <is>
          <t>Vendor-agnostisch twin-platform als 'single source of truth' voor stations (SCADA, OT, GIS, ERP, markt), SGAM-conform</t>
        </is>
      </c>
      <c r="V105" s="20" t="inlineStr">
        <is>
          <t>https://cordis.europa.eu/project/id/101326587</t>
        </is>
      </c>
      <c r="W105" s="20" t="n">
        <v>51.9</v>
      </c>
      <c r="X105" s="20" t="n">
        <v>-8.470000000000001</v>
      </c>
      <c r="Y105" s="20" t="inlineStr">
        <is>
          <t>v5</t>
        </is>
      </c>
      <c r="Z105" s="23" t="inlineStr">
        <is>
          <t>nee</t>
        </is>
      </c>
      <c r="AA105" s="20" t="inlineStr">
        <is>
          <t>Twin-instantie</t>
        </is>
      </c>
      <c r="AB105" s="20" t="inlineStr">
        <is>
          <t>Tweeling</t>
        </is>
      </c>
      <c r="AC105" s="20" t="inlineStr">
        <is>
          <t>Gerealiseerd</t>
        </is>
      </c>
      <c r="AD105" s="20" t="inlineStr">
        <is>
          <t>5 Sturende tweeling</t>
        </is>
      </c>
      <c r="AE105" s="20" t="inlineStr">
        <is>
          <t>Elektriciteit</t>
        </is>
      </c>
      <c r="AF105" s="20" t="inlineStr">
        <is>
          <t>Geen</t>
        </is>
      </c>
      <c r="AG105" s="20" t="inlineStr">
        <is>
          <t>B primaire bron</t>
        </is>
      </c>
    </row>
    <row r="106" ht="28.35" customHeight="1" s="15">
      <c r="A106" s="20" t="inlineStr">
        <is>
          <t>DT-105</t>
        </is>
      </c>
      <c r="B106" s="20" t="inlineStr">
        <is>
          <t>E</t>
        </is>
      </c>
      <c r="C106" s="20" t="inlineStr">
        <is>
          <t>EU-breed programma of netwerk</t>
        </is>
      </c>
      <c r="D106" s="20" t="inlineStr">
        <is>
          <t>TwinERGY: consumentgerichte digital twin voor demand response</t>
        </is>
      </c>
      <c r="E106" s="20" t="inlineStr">
        <is>
          <t>Energie</t>
        </is>
      </c>
      <c r="F106" s="20" t="inlineStr">
        <is>
          <t>Europees</t>
        </is>
      </c>
      <c r="G106" s="20" t="inlineStr">
        <is>
          <t>EU</t>
        </is>
      </c>
      <c r="H106" s="20" t="inlineStr">
        <is>
          <t>Faciliteit/R&amp;D</t>
        </is>
      </c>
      <c r="I106" s="20" t="inlineStr">
        <is>
          <t>Sturing &amp; optimalisatie</t>
        </is>
      </c>
      <c r="J106" s="20" t="inlineStr">
        <is>
          <t>Gezamenlijke besluitvorming</t>
        </is>
      </c>
      <c r="K106" s="20" t="inlineStr">
        <is>
          <t>Gebouw / site</t>
        </is>
      </c>
      <c r="L106" s="20" t="inlineStr">
        <is>
          <t>Tweeling (consument)</t>
        </is>
      </c>
      <c r="M106" s="20" t="inlineStr">
        <is>
          <t>Elektriciteit</t>
        </is>
      </c>
      <c r="N106" s="20" t="inlineStr">
        <is>
          <t>3 Demonstratie/lab</t>
        </is>
      </c>
      <c r="O106" s="20" t="inlineStr">
        <is>
          <t>Horizon 2020</t>
        </is>
      </c>
      <c r="P106" s="20" t="inlineStr">
        <is>
          <t>HORIZON</t>
        </is>
      </c>
      <c r="Q106" s="20" t="n"/>
      <c r="R106" s="20" t="inlineStr">
        <is>
          <t>Universiteit van Patras (coördinator)</t>
        </is>
      </c>
      <c r="S106" s="20" t="inlineStr">
        <is>
          <t>Arthur's Legal (Amsterdam)</t>
        </is>
      </c>
      <c r="T106" s="20" t="inlineStr">
        <is>
          <t>Afgerond (nov. 2020 tot apr. 2024); €7,1 mln; 4 pilotregio's</t>
        </is>
      </c>
      <c r="U106" s="20" t="inlineStr">
        <is>
          <t>Twin rond de consument (comfort, routines) als bouwsteen voor flex achter de meter; raakt ADE 3.2</t>
        </is>
      </c>
      <c r="V106" s="20" t="inlineStr">
        <is>
          <t>https://cordis.europa.eu/project/id/957736</t>
        </is>
      </c>
      <c r="W106" s="20" t="n">
        <v>38.25</v>
      </c>
      <c r="X106" s="20" t="n">
        <v>21.73</v>
      </c>
      <c r="Y106" s="20" t="inlineStr">
        <is>
          <t>v5</t>
        </is>
      </c>
      <c r="Z106" s="23" t="inlineStr">
        <is>
          <t>nee</t>
        </is>
      </c>
      <c r="AA106" s="20" t="inlineStr">
        <is>
          <t>Twin-instantie</t>
        </is>
      </c>
      <c r="AB106" s="20" t="inlineStr">
        <is>
          <t>Tweeling</t>
        </is>
      </c>
      <c r="AC106" s="20" t="inlineStr">
        <is>
          <t>Gerealiseerd</t>
        </is>
      </c>
      <c r="AD106" s="20" t="inlineStr">
        <is>
          <t>5 Sturende tweeling</t>
        </is>
      </c>
      <c r="AE106" s="20" t="inlineStr">
        <is>
          <t>Elektriciteit</t>
        </is>
      </c>
      <c r="AF106" s="20" t="inlineStr">
        <is>
          <t>Partner/deelnemer</t>
        </is>
      </c>
      <c r="AG106" s="20" t="inlineStr">
        <is>
          <t>B primaire bron</t>
        </is>
      </c>
    </row>
    <row r="107" ht="41.75" customHeight="1" s="15">
      <c r="A107" s="20" t="inlineStr">
        <is>
          <t>DT-106</t>
        </is>
      </c>
      <c r="B107" s="20" t="inlineStr">
        <is>
          <t>E</t>
        </is>
      </c>
      <c r="C107" s="20" t="inlineStr">
        <is>
          <t>EU-breed programma of netwerk</t>
        </is>
      </c>
      <c r="D107" s="20" t="inlineStr">
        <is>
          <t>BUILDSPACE: gebouwtwins gekoppeld aan stadsdiensten</t>
        </is>
      </c>
      <c r="E107" s="20" t="inlineStr">
        <is>
          <t>Energie + GO</t>
        </is>
      </c>
      <c r="F107" s="20" t="inlineStr">
        <is>
          <t>Europees</t>
        </is>
      </c>
      <c r="G107" s="20" t="inlineStr">
        <is>
          <t>EU</t>
        </is>
      </c>
      <c r="H107" s="20" t="inlineStr">
        <is>
          <t>Faciliteit/R&amp;D</t>
        </is>
      </c>
      <c r="I107" s="20" t="inlineStr">
        <is>
          <t>Inzicht &amp; monitoring</t>
        </is>
      </c>
      <c r="J107" s="20" t="inlineStr">
        <is>
          <t>Voorspellen</t>
        </is>
      </c>
      <c r="K107" s="20" t="inlineStr">
        <is>
          <t>Gebouw / site</t>
        </is>
      </c>
      <c r="L107" s="20" t="inlineStr">
        <is>
          <t>Schaduw</t>
        </is>
      </c>
      <c r="M107" s="20" t="inlineStr">
        <is>
          <t>Gebouw, warmte/klimaat</t>
        </is>
      </c>
      <c r="N107" s="20" t="inlineStr">
        <is>
          <t>3 Demonstratie/lab</t>
        </is>
      </c>
      <c r="O107" s="20" t="inlineStr">
        <is>
          <t>Horizon Europe (EUSPA)</t>
        </is>
      </c>
      <c r="P107" s="20" t="inlineStr">
        <is>
          <t>HORIZON</t>
        </is>
      </c>
      <c r="Q107" s="20" t="inlineStr">
        <is>
          <t>BS-IFC</t>
        </is>
      </c>
      <c r="R107" s="20" t="inlineStr">
        <is>
          <t>SingularLogic (GR, coördinator); demo's Warschau, Piraeus, Riga, Ljubljana</t>
        </is>
      </c>
      <c r="S107" s="20" t="inlineStr">
        <is>
          <t>Geen NL-partners</t>
        </is>
      </c>
      <c r="T107" s="20" t="inlineStr">
        <is>
          <t>Afgerond (feb. 2023 tot jan. 2026); €3,0 mln</t>
        </is>
      </c>
      <c r="U107" s="20" t="inlineStr">
        <is>
          <t>Koppelt BIM/IoT-gebouwtwins aan stadsdiensten (energievraag, hitte, overstroming) met satelliet- en dronedata</t>
        </is>
      </c>
      <c r="V107" s="20" t="inlineStr">
        <is>
          <t>https://cordis.europa.eu/project/id/101082575</t>
        </is>
      </c>
      <c r="W107" s="20" t="n">
        <v>37.98</v>
      </c>
      <c r="X107" s="20" t="n">
        <v>23.73</v>
      </c>
      <c r="Y107" s="20" t="inlineStr">
        <is>
          <t>v5</t>
        </is>
      </c>
      <c r="Z107" s="23" t="inlineStr">
        <is>
          <t>nee</t>
        </is>
      </c>
      <c r="AA107" s="20" t="inlineStr">
        <is>
          <t>Twin-instantie</t>
        </is>
      </c>
      <c r="AB107" s="20" t="inlineStr">
        <is>
          <t>Schaduw</t>
        </is>
      </c>
      <c r="AC107" s="20" t="inlineStr">
        <is>
          <t>Gerealiseerd</t>
        </is>
      </c>
      <c r="AD107" s="20" t="inlineStr">
        <is>
          <t>3 Voorspellende schaduw</t>
        </is>
      </c>
      <c r="AE107" s="20" t="inlineStr">
        <is>
          <t>Warmte/koude</t>
        </is>
      </c>
      <c r="AF107" s="20" t="inlineStr">
        <is>
          <t>Geen</t>
        </is>
      </c>
      <c r="AG107" s="20" t="inlineStr">
        <is>
          <t>B primaire bron</t>
        </is>
      </c>
    </row>
    <row r="108" ht="41.75" customHeight="1" s="15">
      <c r="A108" s="20" t="inlineStr">
        <is>
          <t>DT-107</t>
        </is>
      </c>
      <c r="B108" s="20" t="inlineStr">
        <is>
          <t>E</t>
        </is>
      </c>
      <c r="C108" s="20" t="inlineStr">
        <is>
          <t>EU-breed programma of netwerk</t>
        </is>
      </c>
      <c r="D108" s="20" t="inlineStr">
        <is>
          <t>ExPEDite: planning- en beheertwin voor Positive Energy Districts</t>
        </is>
      </c>
      <c r="E108" s="20" t="inlineStr">
        <is>
          <t>Energie + GO</t>
        </is>
      </c>
      <c r="F108" s="20" t="inlineStr">
        <is>
          <t>Europees</t>
        </is>
      </c>
      <c r="G108" s="20" t="inlineStr">
        <is>
          <t>EU</t>
        </is>
      </c>
      <c r="H108" s="20" t="inlineStr">
        <is>
          <t>Faciliteit/R&amp;D</t>
        </is>
      </c>
      <c r="I108" s="20" t="inlineStr">
        <is>
          <t>Scenario &amp; planning</t>
        </is>
      </c>
      <c r="J108" s="20" t="inlineStr">
        <is>
          <t>Sturing &amp; optimalisatie</t>
        </is>
      </c>
      <c r="K108" s="20" t="inlineStr">
        <is>
          <t>Wijk / bedrijventerrein / hub</t>
        </is>
      </c>
      <c r="L108" s="20" t="inlineStr">
        <is>
          <t>Tweeling (beoogd)</t>
        </is>
      </c>
      <c r="M108" s="20" t="inlineStr">
        <is>
          <t>Multi-commodity</t>
        </is>
      </c>
      <c r="N108" s="20" t="inlineStr">
        <is>
          <t>2 Pilot/PoC</t>
        </is>
      </c>
      <c r="O108" s="20" t="inlineStr">
        <is>
          <t>Horizon Europe (PED)</t>
        </is>
      </c>
      <c r="P108" s="20" t="inlineStr">
        <is>
          <t>HORIZON</t>
        </is>
      </c>
      <c r="Q108" s="20" t="n"/>
      <c r="R108" s="20" t="inlineStr">
        <is>
          <t>O.a. Riga Technical University, stad Riga, Universiteit Padua (consortium te verifiëren)</t>
        </is>
      </c>
      <c r="S108" s="20" t="inlineStr">
        <is>
          <t>Niet vastgesteld</t>
        </is>
      </c>
      <c r="T108" s="20" t="inlineStr">
        <is>
          <t>Lopend (te verifiëren); twin voor het energiesysteem van de RTU-campus</t>
        </is>
      </c>
      <c r="U108" s="20" t="inlineStr">
        <is>
          <t>Europese tegenhanger van NL-energiehubtwins op wijkniveau; vergelijken met ORTESE en Drechtsteden</t>
        </is>
      </c>
      <c r="V108" s="20" t="inlineStr">
        <is>
          <t>https://www.riga.lv/en/projects/enabling-positive-energy-districts-trough-digital-twins-expedite</t>
        </is>
      </c>
      <c r="W108" s="20" t="n">
        <v>56.95</v>
      </c>
      <c r="X108" s="20" t="n">
        <v>24.11</v>
      </c>
      <c r="Y108" s="20" t="inlineStr">
        <is>
          <t>v5</t>
        </is>
      </c>
      <c r="Z108" s="23" t="inlineStr">
        <is>
          <t>nee</t>
        </is>
      </c>
      <c r="AA108" s="20" t="inlineStr">
        <is>
          <t>Twin-instantie</t>
        </is>
      </c>
      <c r="AB108" s="20" t="inlineStr">
        <is>
          <t>Tweeling</t>
        </is>
      </c>
      <c r="AC108" s="20" t="inlineStr">
        <is>
          <t>Beoogd</t>
        </is>
      </c>
      <c r="AD108" s="20" t="inlineStr">
        <is>
          <t>5 Sturende tweeling (beoogd)</t>
        </is>
      </c>
      <c r="AE108" s="20" t="inlineStr">
        <is>
          <t>Multi-commodity (dragers niet gespecificeerd)</t>
        </is>
      </c>
      <c r="AF108" s="20" t="inlineStr">
        <is>
          <t>Onbekend</t>
        </is>
      </c>
      <c r="AG108" s="20" t="inlineStr">
        <is>
          <t>D aanname</t>
        </is>
      </c>
    </row>
    <row r="109" ht="55.2" customHeight="1" s="15">
      <c r="A109" s="20" t="inlineStr">
        <is>
          <t>DT-108</t>
        </is>
      </c>
      <c r="B109" s="20" t="inlineStr">
        <is>
          <t>E</t>
        </is>
      </c>
      <c r="C109" s="20" t="inlineStr">
        <is>
          <t>EU-breed programma of netwerk</t>
        </is>
      </c>
      <c r="D109" s="20" t="inlineStr">
        <is>
          <t>Energiedataspace-projecten met twin-output (Enershare, SYNERGIES)</t>
        </is>
      </c>
      <c r="E109" s="20" t="inlineStr">
        <is>
          <t>Energie</t>
        </is>
      </c>
      <c r="F109" s="20" t="inlineStr">
        <is>
          <t>Europees</t>
        </is>
      </c>
      <c r="G109" s="20" t="inlineStr">
        <is>
          <t>EU</t>
        </is>
      </c>
      <c r="H109" s="20" t="inlineStr">
        <is>
          <t>Bouwsteen</t>
        </is>
      </c>
      <c r="I109" s="20" t="inlineStr">
        <is>
          <t>Inzicht &amp; monitoring</t>
        </is>
      </c>
      <c r="J109" s="20" t="inlineStr">
        <is>
          <t>Sturing &amp; optimalisatie</t>
        </is>
      </c>
      <c r="K109" s="20" t="inlineStr">
        <is>
          <t>Europees</t>
        </is>
      </c>
      <c r="L109" s="20" t="inlineStr">
        <is>
          <t>Tweeling (deeltoepassingen)</t>
        </is>
      </c>
      <c r="M109" s="20" t="inlineStr">
        <is>
          <t>Elektriciteit, H2</t>
        </is>
      </c>
      <c r="N109" s="20" t="inlineStr">
        <is>
          <t>3 Demonstratie/lab</t>
        </is>
      </c>
      <c r="O109" s="20" t="inlineStr">
        <is>
          <t>Horizon Europe; CEEDS</t>
        </is>
      </c>
      <c r="P109" s="20" t="inlineStr">
        <is>
          <t>HORIZON;CEEDS</t>
        </is>
      </c>
      <c r="Q109" s="20" t="n"/>
      <c r="R109" s="20" t="inlineStr">
        <is>
          <t>Consortia Enershare en SYNERGIES</t>
        </is>
      </c>
      <c r="S109" s="20" t="inlineStr">
        <is>
          <t>Niet vastgesteld</t>
        </is>
      </c>
      <c r="T109" s="20" t="inlineStr">
        <is>
          <t>Enershare afgerond medio 2025 (o.a. TwinP2G); SYNERGIES afgesloten 28-2-2026 met twins voor netoperatie en assetmanagement (rapport datagovernance 2026)</t>
        </is>
      </c>
      <c r="U109" s="20" t="inlineStr">
        <is>
          <t>Laat zien dat twin-diensten bovenop dataspaces worden gebouwd: data-afspraken eerst</t>
        </is>
      </c>
      <c r="V109" s="20" t="inlineStr">
        <is>
          <t>https://data-governance-2026.reports.energiedata.nl/initiatieven-data-delen.html</t>
        </is>
      </c>
      <c r="W109" s="20" t="n">
        <v>50.85</v>
      </c>
      <c r="X109" s="20" t="n">
        <v>4.35</v>
      </c>
      <c r="Y109" s="20" t="inlineStr">
        <is>
          <t>v5</t>
        </is>
      </c>
      <c r="Z109" s="23" t="inlineStr">
        <is>
          <t>nee</t>
        </is>
      </c>
      <c r="AA109" s="20" t="inlineStr">
        <is>
          <t>Stelsel (bouwsteen)</t>
        </is>
      </c>
      <c r="AB109" s="20" t="inlineStr">
        <is>
          <t>Tweeling</t>
        </is>
      </c>
      <c r="AC109" s="20" t="inlineStr">
        <is>
          <t>Gerealiseerd</t>
        </is>
      </c>
      <c r="AD109" s="20" t="inlineStr">
        <is>
          <t>5 Sturende tweeling</t>
        </is>
      </c>
      <c r="AE109" s="20" t="inlineStr">
        <is>
          <t>Elektriciteit; Waterstof (multi-commodity)</t>
        </is>
      </c>
      <c r="AF109" s="20" t="inlineStr">
        <is>
          <t>Onbekend</t>
        </is>
      </c>
      <c r="AG109" s="20" t="inlineStr">
        <is>
          <t>B primaire bron</t>
        </is>
      </c>
    </row>
    <row r="110" ht="55.2" customHeight="1" s="15">
      <c r="A110" s="20" t="inlineStr">
        <is>
          <t>DT-109</t>
        </is>
      </c>
      <c r="B110" s="20" t="inlineStr">
        <is>
          <t>E</t>
        </is>
      </c>
      <c r="C110" s="20" t="inlineStr">
        <is>
          <t>EU-breed programma of netwerk</t>
        </is>
      </c>
      <c r="D110" s="20" t="inlineStr">
        <is>
          <t>BRIDGE-initiatief (cluster Horizon-projecten smart grids, opslag, digitalisering)</t>
        </is>
      </c>
      <c r="E110" s="20" t="inlineStr">
        <is>
          <t>Energie</t>
        </is>
      </c>
      <c r="F110" s="20" t="inlineStr">
        <is>
          <t>Europees</t>
        </is>
      </c>
      <c r="G110" s="20" t="inlineStr">
        <is>
          <t>EU</t>
        </is>
      </c>
      <c r="H110" s="20" t="inlineStr">
        <is>
          <t>Samenwerking/kennis</t>
        </is>
      </c>
      <c r="I110" s="20" t="inlineStr">
        <is>
          <t>Onderzoek &amp; training</t>
        </is>
      </c>
      <c r="J110" s="20" t="n"/>
      <c r="K110" s="20" t="inlineStr">
        <is>
          <t>Europees</t>
        </is>
      </c>
      <c r="L110" s="20" t="inlineStr">
        <is>
          <t>n.v.t.</t>
        </is>
      </c>
      <c r="M110" s="20" t="inlineStr">
        <is>
          <t>Alle</t>
        </is>
      </c>
      <c r="N110" s="20" t="inlineStr">
        <is>
          <t>4 Operationeel</t>
        </is>
      </c>
      <c r="O110" s="20" t="inlineStr">
        <is>
          <t>Horizon Europe</t>
        </is>
      </c>
      <c r="P110" s="20" t="inlineStr">
        <is>
          <t>HORIZON</t>
        </is>
      </c>
      <c r="Q110" s="20" t="n"/>
      <c r="R110" s="20" t="inlineStr">
        <is>
          <t>Europese Commissie; deelnemende H2020/HE-projecten</t>
        </is>
      </c>
      <c r="S110" s="20" t="inlineStr">
        <is>
          <t>Via NL-partners in projecten</t>
        </is>
      </c>
      <c r="T110" s="20" t="inlineStr">
        <is>
          <t>Actief; General Assembly 2025 met conclusies en vervolgstappen</t>
        </is>
      </c>
      <c r="U110" s="20" t="inlineStr">
        <is>
          <t>Bestaand kanaal om lessen uit Horizon-twins te bundelen; NL-inbreng loopt nu ad hoc</t>
        </is>
      </c>
      <c r="V110" s="20" t="inlineStr">
        <is>
          <t>https://bridge-smart-grid-storage-systems-digital-projects.ec.europa.eu</t>
        </is>
      </c>
      <c r="W110" s="20" t="n">
        <v>50.85</v>
      </c>
      <c r="X110" s="20" t="n">
        <v>4.35</v>
      </c>
      <c r="Y110" s="20" t="inlineStr">
        <is>
          <t>v5</t>
        </is>
      </c>
      <c r="Z110" s="23" t="inlineStr">
        <is>
          <t>nee</t>
        </is>
      </c>
      <c r="AA110" s="20" t="inlineStr">
        <is>
          <t>Ecosysteem</t>
        </is>
      </c>
      <c r="AB110" s="20" t="inlineStr">
        <is>
          <t>n.v.t.</t>
        </is>
      </c>
      <c r="AC110" s="20" t="inlineStr">
        <is>
          <t>n.v.t.</t>
        </is>
      </c>
      <c r="AD110" s="20" t="inlineStr">
        <is>
          <t>-</t>
        </is>
      </c>
      <c r="AE110" s="20" t="inlineStr">
        <is>
          <t>Elektriciteit; Gas; Waterstof; Warmte/koude (multi-commodity)</t>
        </is>
      </c>
      <c r="AF110" s="20" t="inlineStr">
        <is>
          <t>Partner/deelnemer</t>
        </is>
      </c>
      <c r="AG110" s="20" t="inlineStr">
        <is>
          <t>B primaire bron</t>
        </is>
      </c>
    </row>
    <row r="111" ht="41.75" customHeight="1" s="15">
      <c r="A111" s="20" t="inlineStr">
        <is>
          <t>DT-110</t>
        </is>
      </c>
      <c r="B111" s="20" t="inlineStr">
        <is>
          <t>E</t>
        </is>
      </c>
      <c r="C111" s="20" t="inlineStr">
        <is>
          <t>EU-breed programma of netwerk</t>
        </is>
      </c>
      <c r="D111" s="20" t="inlineStr">
        <is>
          <t>LF Energy: open-sourcestichting voor energiesoftware</t>
        </is>
      </c>
      <c r="E111" s="20" t="inlineStr">
        <is>
          <t>Energie</t>
        </is>
      </c>
      <c r="F111" s="20" t="inlineStr">
        <is>
          <t>Internationaal</t>
        </is>
      </c>
      <c r="G111" s="20" t="inlineStr">
        <is>
          <t>INT</t>
        </is>
      </c>
      <c r="H111" s="20" t="inlineStr">
        <is>
          <t>Samenwerking/kennis</t>
        </is>
      </c>
      <c r="I111" s="20" t="inlineStr">
        <is>
          <t>Ontwerp &amp; engineering</t>
        </is>
      </c>
      <c r="J111" s="20" t="inlineStr">
        <is>
          <t>Inzicht &amp; monitoring, Scenario &amp; planning</t>
        </is>
      </c>
      <c r="K111" s="20" t="inlineStr">
        <is>
          <t>Europees</t>
        </is>
      </c>
      <c r="L111" s="20" t="inlineStr">
        <is>
          <t>n.v.t.</t>
        </is>
      </c>
      <c r="M111" s="20" t="inlineStr">
        <is>
          <t>Elektriciteit</t>
        </is>
      </c>
      <c r="N111" s="20" t="inlineStr">
        <is>
          <t>4 Operationeel</t>
        </is>
      </c>
      <c r="O111" s="20" t="inlineStr">
        <is>
          <t>LF Energy</t>
        </is>
      </c>
      <c r="P111" s="20" t="inlineStr">
        <is>
          <t>LFE</t>
        </is>
      </c>
      <c r="Q111" s="20" t="inlineStr">
        <is>
          <t>BS-PGM;BS-OPENSTEF;BS-POWSYBL;BS-DYNAWO;BS-GRID2OP;BS-SEF;BS-USEF</t>
        </is>
      </c>
      <c r="R111" s="20" t="inlineStr">
        <is>
          <t>Linux Foundation; leden o.a. TSO's, DSO's en techbedrijven; nieuwe leden sept. 2026: Coreso, Landis+Gyr</t>
        </is>
      </c>
      <c r="S111" s="20" t="inlineStr">
        <is>
          <t>Alliander (o.a. Power Grid Model, OpenSTEF); Shapeshifter (USEF/UFTP)</t>
        </is>
      </c>
      <c r="T111" s="20" t="inlineStr">
        <is>
          <t>41 projecten (okt. 2026); nieuw per 15-9-2026: AssetLife, CityLearn, EnerGNN, Smart HEMS Benchmark</t>
        </is>
      </c>
      <c r="U111" s="20" t="inlineStr">
        <is>
          <t>Grootste open bron van twin-bouwstenen (netmodel, berekening, simulatie, semantiek), al noemt geen project zich 'digital twin'</t>
        </is>
      </c>
      <c r="V111" s="20" t="inlineStr">
        <is>
          <t>https://lfenergy.org/our-projects</t>
        </is>
      </c>
      <c r="W111" s="20" t="n"/>
      <c r="X111" s="20" t="n"/>
      <c r="Y111" s="20" t="inlineStr">
        <is>
          <t>v5</t>
        </is>
      </c>
      <c r="Z111" s="23" t="inlineStr">
        <is>
          <t>nee</t>
        </is>
      </c>
      <c r="AA111" s="20" t="inlineStr">
        <is>
          <t>Ecosysteem</t>
        </is>
      </c>
      <c r="AB111" s="20" t="inlineStr">
        <is>
          <t>n.v.t.</t>
        </is>
      </c>
      <c r="AC111" s="20" t="inlineStr">
        <is>
          <t>n.v.t.</t>
        </is>
      </c>
      <c r="AD111" s="20" t="inlineStr">
        <is>
          <t>-</t>
        </is>
      </c>
      <c r="AE111" s="20" t="inlineStr">
        <is>
          <t>Elektriciteit</t>
        </is>
      </c>
      <c r="AF111" s="20" t="inlineStr">
        <is>
          <t>Partner/deelnemer</t>
        </is>
      </c>
      <c r="AG111" s="20" t="inlineStr">
        <is>
          <t>B primaire bron</t>
        </is>
      </c>
    </row>
    <row r="112" ht="28.35" customHeight="1" s="15">
      <c r="A112" s="20" t="inlineStr">
        <is>
          <t>DT-111</t>
        </is>
      </c>
      <c r="B112" s="20" t="inlineStr">
        <is>
          <t>E</t>
        </is>
      </c>
      <c r="C112" s="20" t="inlineStr">
        <is>
          <t>EU-breed programma of netwerk</t>
        </is>
      </c>
      <c r="D112" s="20" t="inlineStr">
        <is>
          <t>Living-in.EU (beweging van Europese steden)</t>
        </is>
      </c>
      <c r="E112" s="20" t="inlineStr">
        <is>
          <t>GO</t>
        </is>
      </c>
      <c r="F112" s="20" t="inlineStr">
        <is>
          <t>Europees</t>
        </is>
      </c>
      <c r="G112" s="20" t="inlineStr">
        <is>
          <t>EU</t>
        </is>
      </c>
      <c r="H112" s="20" t="inlineStr">
        <is>
          <t>Samenwerking/kennis</t>
        </is>
      </c>
      <c r="I112" s="20" t="inlineStr">
        <is>
          <t>Gezamenlijke besluitvorming</t>
        </is>
      </c>
      <c r="J112" s="20" t="n"/>
      <c r="K112" s="20" t="inlineStr">
        <is>
          <t>Europees</t>
        </is>
      </c>
      <c r="L112" s="20" t="inlineStr">
        <is>
          <t>n.v.t.</t>
        </is>
      </c>
      <c r="M112" s="20" t="inlineStr">
        <is>
          <t>n.v.t.</t>
        </is>
      </c>
      <c r="N112" s="20" t="inlineStr">
        <is>
          <t>4 Operationeel</t>
        </is>
      </c>
      <c r="O112" s="20" t="inlineStr">
        <is>
          <t>EU-LDT</t>
        </is>
      </c>
      <c r="P112" s="20" t="inlineStr">
        <is>
          <t>EU-LDT</t>
        </is>
      </c>
      <c r="Q112" s="20" t="n"/>
      <c r="R112" s="20" t="inlineStr">
        <is>
          <t>Eurocities, Europese Commissie, steden</t>
        </is>
      </c>
      <c r="S112" s="20" t="inlineStr">
        <is>
          <t>Via NL-steden</t>
        </is>
      </c>
      <c r="T112" s="20" t="inlineStr">
        <is>
          <t>Actief</t>
        </is>
      </c>
      <c r="U112" s="20" t="inlineStr">
        <is>
          <t>Stedenkanaal voor LDT-afspraken (MIMs Plus) en funding calls</t>
        </is>
      </c>
      <c r="V112" s="20" t="inlineStr">
        <is>
          <t>https://living-in.eu/taxonomy/term/284</t>
        </is>
      </c>
      <c r="W112" s="20" t="n">
        <v>50.85</v>
      </c>
      <c r="X112" s="20" t="n">
        <v>4.35</v>
      </c>
      <c r="Y112" s="20" t="inlineStr">
        <is>
          <t>v6</t>
        </is>
      </c>
      <c r="Z112" s="23" t="inlineStr">
        <is>
          <t>nee</t>
        </is>
      </c>
      <c r="AA112" s="20" t="inlineStr">
        <is>
          <t>Ecosysteem</t>
        </is>
      </c>
      <c r="AB112" s="20" t="inlineStr">
        <is>
          <t>n.v.t.</t>
        </is>
      </c>
      <c r="AC112" s="20" t="inlineStr">
        <is>
          <t>n.v.t.</t>
        </is>
      </c>
      <c r="AD112" s="20" t="inlineStr">
        <is>
          <t>-</t>
        </is>
      </c>
      <c r="AE112" s="20" t="inlineStr">
        <is>
          <t>n.v.t.</t>
        </is>
      </c>
      <c r="AF112" s="20" t="inlineStr">
        <is>
          <t>Partner/deelnemer</t>
        </is>
      </c>
      <c r="AG112" s="20" t="inlineStr">
        <is>
          <t>B primaire bron</t>
        </is>
      </c>
    </row>
    <row r="113" ht="28.35" customHeight="1" s="15">
      <c r="A113" s="20" t="inlineStr">
        <is>
          <t>DT-112</t>
        </is>
      </c>
      <c r="B113" s="20" t="inlineStr">
        <is>
          <t>E</t>
        </is>
      </c>
      <c r="C113" s="20" t="inlineStr">
        <is>
          <t>EU-breed programma of netwerk</t>
        </is>
      </c>
      <c r="D113" s="20" t="inlineStr">
        <is>
          <t>DUET: Digital Urban European Twins</t>
        </is>
      </c>
      <c r="E113" s="20" t="inlineStr">
        <is>
          <t>GO</t>
        </is>
      </c>
      <c r="F113" s="20" t="inlineStr">
        <is>
          <t>Europees</t>
        </is>
      </c>
      <c r="G113" s="20" t="inlineStr">
        <is>
          <t>EU</t>
        </is>
      </c>
      <c r="H113" s="20" t="inlineStr">
        <is>
          <t>Faciliteit/R&amp;D</t>
        </is>
      </c>
      <c r="I113" s="20" t="inlineStr">
        <is>
          <t>Scenario &amp; planning</t>
        </is>
      </c>
      <c r="J113" s="20" t="inlineStr">
        <is>
          <t>Gezamenlijke besluitvorming</t>
        </is>
      </c>
      <c r="K113" s="20" t="inlineStr">
        <is>
          <t>Gemeente / regio</t>
        </is>
      </c>
      <c r="L113" s="20" t="inlineStr">
        <is>
          <t>Model/schaduw</t>
        </is>
      </c>
      <c r="M113" s="20" t="inlineStr">
        <is>
          <t>n.v.t.</t>
        </is>
      </c>
      <c r="N113" s="20" t="inlineStr">
        <is>
          <t>3 Demonstratie/lab</t>
        </is>
      </c>
      <c r="O113" s="20" t="inlineStr">
        <is>
          <t>Horizon 2020; EU-LDT</t>
        </is>
      </c>
      <c r="P113" s="20" t="inlineStr">
        <is>
          <t>HORIZON;EU-LDT</t>
        </is>
      </c>
      <c r="Q113" s="20" t="n"/>
      <c r="R113" s="20" t="inlineStr">
        <is>
          <t>Pilsen, Vlaanderen, Athene; TNO, imec, KU Leuven</t>
        </is>
      </c>
      <c r="S113" s="20" t="inlineStr">
        <is>
          <t>TNO</t>
        </is>
      </c>
      <c r="T113" s="20" t="inlineStr">
        <is>
          <t>Afgerond</t>
        </is>
      </c>
      <c r="U113" s="20" t="inlineStr">
        <is>
          <t>Verkeer, lucht en geluid in gekoppelde stadsmodellen; geen energie</t>
        </is>
      </c>
      <c r="V113" s="20" t="inlineStr">
        <is>
          <t>https://cordis.europa.eu/project/id/870697</t>
        </is>
      </c>
      <c r="W113" s="20" t="n">
        <v>50.85</v>
      </c>
      <c r="X113" s="20" t="n">
        <v>4.35</v>
      </c>
      <c r="Y113" s="20" t="inlineStr">
        <is>
          <t>v6</t>
        </is>
      </c>
      <c r="Z113" s="23" t="inlineStr">
        <is>
          <t>nee</t>
        </is>
      </c>
      <c r="AA113" s="20" t="inlineStr">
        <is>
          <t>Twin-instantie</t>
        </is>
      </c>
      <c r="AB113" s="20" t="inlineStr">
        <is>
          <t>Model of schaduw (onzeker)</t>
        </is>
      </c>
      <c r="AC113" s="20" t="inlineStr">
        <is>
          <t>Gerealiseerd</t>
        </is>
      </c>
      <c r="AD113" s="20" t="inlineStr">
        <is>
          <t>4 Scenario-tweeling</t>
        </is>
      </c>
      <c r="AE113" s="20" t="inlineStr">
        <is>
          <t>n.v.t.</t>
        </is>
      </c>
      <c r="AF113" s="20" t="inlineStr">
        <is>
          <t>Partner/deelnemer</t>
        </is>
      </c>
      <c r="AG113" s="20" t="inlineStr">
        <is>
          <t>B primaire bron</t>
        </is>
      </c>
    </row>
    <row r="114" ht="28.35" customHeight="1" s="15">
      <c r="A114" s="20" t="inlineStr">
        <is>
          <t>DT-113</t>
        </is>
      </c>
      <c r="B114" s="20" t="inlineStr">
        <is>
          <t>E</t>
        </is>
      </c>
      <c r="C114" s="20" t="inlineStr">
        <is>
          <t>EU-breed programma of netwerk</t>
        </is>
      </c>
      <c r="D114" s="20" t="inlineStr">
        <is>
          <t>BIM2TWIN: twin voor bouwproductie</t>
        </is>
      </c>
      <c r="E114" s="20" t="inlineStr">
        <is>
          <t>GO</t>
        </is>
      </c>
      <c r="F114" s="20" t="inlineStr">
        <is>
          <t>Europees</t>
        </is>
      </c>
      <c r="G114" s="20" t="inlineStr">
        <is>
          <t>EU</t>
        </is>
      </c>
      <c r="H114" s="20" t="inlineStr">
        <is>
          <t>Faciliteit/R&amp;D</t>
        </is>
      </c>
      <c r="I114" s="20" t="inlineStr">
        <is>
          <t>Ontwerp &amp; engineering</t>
        </is>
      </c>
      <c r="J114" s="20" t="inlineStr">
        <is>
          <t>Inzicht &amp; monitoring</t>
        </is>
      </c>
      <c r="K114" s="20" t="inlineStr">
        <is>
          <t>Gebouw / site</t>
        </is>
      </c>
      <c r="L114" s="20" t="inlineStr">
        <is>
          <t>Tweeling</t>
        </is>
      </c>
      <c r="M114" s="20" t="inlineStr">
        <is>
          <t>n.v.t.</t>
        </is>
      </c>
      <c r="N114" s="20" t="inlineStr">
        <is>
          <t>3 Demonstratie/lab</t>
        </is>
      </c>
      <c r="O114" s="20" t="inlineStr">
        <is>
          <t>Horizon 2020</t>
        </is>
      </c>
      <c r="P114" s="20" t="inlineStr">
        <is>
          <t>HORIZON</t>
        </is>
      </c>
      <c r="Q114" s="20" t="inlineStr">
        <is>
          <t>BS-IFC</t>
        </is>
      </c>
      <c r="R114" s="20" t="inlineStr">
        <is>
          <t>Europees consortium</t>
        </is>
      </c>
      <c r="S114" s="20" t="inlineStr">
        <is>
          <t>Niet vastgesteld</t>
        </is>
      </c>
      <c r="T114" s="20" t="inlineStr">
        <is>
          <t>Afgerond</t>
        </is>
      </c>
      <c r="U114" s="20" t="inlineStr">
        <is>
          <t>Bouwplaatstwin op BIM; brug naar gebouwtwins in gebruik</t>
        </is>
      </c>
      <c r="V114" s="20" t="inlineStr">
        <is>
          <t>https://cordis.europa.eu/project/id/958398</t>
        </is>
      </c>
      <c r="W114" s="20" t="n">
        <v>50.85</v>
      </c>
      <c r="X114" s="20" t="n">
        <v>4.35</v>
      </c>
      <c r="Y114" s="20" t="inlineStr">
        <is>
          <t>v6</t>
        </is>
      </c>
      <c r="Z114" s="23" t="inlineStr">
        <is>
          <t>nee</t>
        </is>
      </c>
      <c r="AA114" s="20" t="inlineStr">
        <is>
          <t>Twin-instantie</t>
        </is>
      </c>
      <c r="AB114" s="20" t="inlineStr">
        <is>
          <t>Tweeling</t>
        </is>
      </c>
      <c r="AC114" s="20" t="inlineStr">
        <is>
          <t>Gerealiseerd</t>
        </is>
      </c>
      <c r="AD114" s="20" t="inlineStr">
        <is>
          <t>5 Sturende tweeling</t>
        </is>
      </c>
      <c r="AE114" s="20" t="inlineStr">
        <is>
          <t>n.v.t.</t>
        </is>
      </c>
      <c r="AF114" s="20" t="inlineStr">
        <is>
          <t>Onbekend</t>
        </is>
      </c>
      <c r="AG114" s="20" t="inlineStr">
        <is>
          <t>B primaire bron</t>
        </is>
      </c>
    </row>
    <row r="115" ht="55.2" customHeight="1" s="15">
      <c r="A115" s="20" t="inlineStr">
        <is>
          <t>DT-114</t>
        </is>
      </c>
      <c r="B115" s="20" t="inlineStr">
        <is>
          <t>E</t>
        </is>
      </c>
      <c r="C115" s="20" t="inlineStr">
        <is>
          <t>EU-breed programma of netwerk</t>
        </is>
      </c>
      <c r="D115" s="20" t="inlineStr">
        <is>
          <t>SAGE / Green Deal Data Space: use case 'CO2 Hub &amp; Building Twins'</t>
        </is>
      </c>
      <c r="E115" s="20" t="inlineStr">
        <is>
          <t>GO</t>
        </is>
      </c>
      <c r="F115" s="20" t="inlineStr">
        <is>
          <t>Europees</t>
        </is>
      </c>
      <c r="G115" s="20" t="inlineStr">
        <is>
          <t>EU</t>
        </is>
      </c>
      <c r="H115" s="20" t="inlineStr">
        <is>
          <t>Data-infrastructuur</t>
        </is>
      </c>
      <c r="I115" s="20" t="inlineStr">
        <is>
          <t>Inzicht &amp; monitoring</t>
        </is>
      </c>
      <c r="J115" s="20" t="n"/>
      <c r="K115" s="20" t="inlineStr">
        <is>
          <t>Europees</t>
        </is>
      </c>
      <c r="L115" s="20" t="inlineStr">
        <is>
          <t>n.v.t.</t>
        </is>
      </c>
      <c r="M115" s="20" t="inlineStr">
        <is>
          <t>Gebouwen, CO2</t>
        </is>
      </c>
      <c r="N115" s="20" t="inlineStr">
        <is>
          <t>2 Pilot/PoC</t>
        </is>
      </c>
      <c r="O115" s="20" t="inlineStr">
        <is>
          <t>CEEDS (verwant)</t>
        </is>
      </c>
      <c r="P115" s="20" t="inlineStr">
        <is>
          <t>CEEDS</t>
        </is>
      </c>
      <c r="Q115" s="20" t="n"/>
      <c r="R115" s="20" t="inlineStr">
        <is>
          <t>SAGE-consortium (Digital Europe), opvolger GREAT; Green Deal Dataspace e.V.</t>
        </is>
      </c>
      <c r="S115" s="20" t="inlineStr">
        <is>
          <t>Niet vastgesteld</t>
        </is>
      </c>
      <c r="T115" s="20" t="inlineStr">
        <is>
          <t>SAGE gestart maart 2025; tien use cases; eerste deliverables 2026</t>
        </is>
      </c>
      <c r="U115" s="20" t="inlineStr">
        <is>
          <t>Europese dataspace met gebouwtwins als use case; buurman van CEEDS</t>
        </is>
      </c>
      <c r="V115" s="20" t="inlineStr">
        <is>
          <t>Rapport datagovernance 2026, initiatieven data delen (Green Deal Data Space, SAGE): https://www.greendealdata.eu/use-cases/ ; https://green-deal-dataspace.eu/</t>
        </is>
      </c>
      <c r="W115" s="20" t="n">
        <v>50.85</v>
      </c>
      <c r="X115" s="20" t="n">
        <v>4.35</v>
      </c>
      <c r="Y115" s="20" t="inlineStr">
        <is>
          <t>v7</t>
        </is>
      </c>
      <c r="Z115" s="23" t="inlineStr">
        <is>
          <t>nee</t>
        </is>
      </c>
      <c r="AA115" s="20" t="inlineStr">
        <is>
          <t>Stelsel</t>
        </is>
      </c>
      <c r="AB115" s="20" t="inlineStr">
        <is>
          <t>n.v.t.</t>
        </is>
      </c>
      <c r="AC115" s="20" t="inlineStr">
        <is>
          <t>n.v.t.</t>
        </is>
      </c>
      <c r="AD115" s="20" t="inlineStr">
        <is>
          <t>-</t>
        </is>
      </c>
      <c r="AE115" s="20" t="inlineStr">
        <is>
          <t>n.v.t.</t>
        </is>
      </c>
      <c r="AF115" s="20" t="inlineStr">
        <is>
          <t>Onbekend</t>
        </is>
      </c>
      <c r="AG115" s="20" t="inlineStr">
        <is>
          <t>C secundaire bron</t>
        </is>
      </c>
    </row>
    <row r="116" ht="55.2" customHeight="1" s="15">
      <c r="A116" s="20" t="inlineStr">
        <is>
          <t>DT-115</t>
        </is>
      </c>
      <c r="B116" s="20" t="inlineStr">
        <is>
          <t>L</t>
        </is>
      </c>
      <c r="C116" s="20" t="inlineStr">
        <is>
          <t>Initiatief in een EU/EER-lidstaat</t>
        </is>
      </c>
      <c r="D116" s="20" t="inlineStr">
        <is>
          <t>E.ON: digital twin van het distributienet (Envelio)</t>
        </is>
      </c>
      <c r="E116" s="20" t="inlineStr">
        <is>
          <t>Energie</t>
        </is>
      </c>
      <c r="F116" s="20" t="inlineStr">
        <is>
          <t>EU-lidstaat</t>
        </is>
      </c>
      <c r="G116" s="20" t="inlineStr">
        <is>
          <t>DE</t>
        </is>
      </c>
      <c r="H116" s="20" t="inlineStr">
        <is>
          <t>Twin-instantie</t>
        </is>
      </c>
      <c r="I116" s="20" t="inlineStr">
        <is>
          <t>Inzicht &amp; monitoring</t>
        </is>
      </c>
      <c r="J116" s="20" t="inlineStr">
        <is>
          <t>Scenario &amp; planning</t>
        </is>
      </c>
      <c r="K116" s="20" t="inlineStr">
        <is>
          <t>Net / nationaal systeem</t>
        </is>
      </c>
      <c r="L116" s="20" t="inlineStr">
        <is>
          <t>Schaduw</t>
        </is>
      </c>
      <c r="M116" s="20" t="inlineStr">
        <is>
          <t>Elektriciteit</t>
        </is>
      </c>
      <c r="N116" s="20" t="inlineStr">
        <is>
          <t>5 Opgeschaald</t>
        </is>
      </c>
      <c r="O116" s="20" t="inlineStr">
        <is>
          <t>-</t>
        </is>
      </c>
      <c r="P116" s="20" t="inlineStr">
        <is>
          <t>-</t>
        </is>
      </c>
      <c r="Q116" s="20" t="n"/>
      <c r="R116" s="20" t="inlineStr">
        <is>
          <t>E.ON, Envelio (software, &gt;70 netbeheerders in Europa)</t>
        </is>
      </c>
      <c r="S116" s="20" t="inlineStr">
        <is>
          <t>Geen</t>
        </is>
      </c>
      <c r="T116" s="20" t="inlineStr">
        <is>
          <t>Uitrol afgerond (juli 2025); &gt;700.000 km net (ruim 1/3 Duits distributienet), 55 mln componenten, 180.000 meters; ook in SE, CZ, PL</t>
        </is>
      </c>
      <c r="U116" s="20" t="inlineStr">
        <is>
          <t>Bewijs dat een DSO-twin op landelijke schaal kan, met netaansluitingen (410.000 aanvragen in 2024) als eerste use case; relevant voor Liander/Stedin/Enexis</t>
        </is>
      </c>
      <c r="V116" s="20" t="inlineStr">
        <is>
          <t>https://kurrant.com/kurrantly-news/e-on-deploys-digital-twin-to-support-germanys-energy-transition/</t>
        </is>
      </c>
      <c r="W116" s="20" t="n">
        <v>51.45</v>
      </c>
      <c r="X116" s="20" t="n">
        <v>7.01</v>
      </c>
      <c r="Y116" s="20" t="inlineStr">
        <is>
          <t>v5</t>
        </is>
      </c>
      <c r="Z116" s="23" t="inlineStr">
        <is>
          <t>nee</t>
        </is>
      </c>
      <c r="AA116" s="20" t="inlineStr">
        <is>
          <t>Twin-instantie</t>
        </is>
      </c>
      <c r="AB116" s="20" t="inlineStr">
        <is>
          <t>Schaduw</t>
        </is>
      </c>
      <c r="AC116" s="20" t="inlineStr">
        <is>
          <t>Gerealiseerd</t>
        </is>
      </c>
      <c r="AD116" s="20" t="inlineStr">
        <is>
          <t>2 Digitale schaduw</t>
        </is>
      </c>
      <c r="AE116" s="20" t="inlineStr">
        <is>
          <t>Elektriciteit</t>
        </is>
      </c>
      <c r="AF116" s="20" t="inlineStr">
        <is>
          <t>Geen</t>
        </is>
      </c>
      <c r="AG116" s="20" t="inlineStr">
        <is>
          <t>C secundaire bron</t>
        </is>
      </c>
    </row>
    <row r="117" ht="55.2" customHeight="1" s="15">
      <c r="A117" s="20" t="inlineStr">
        <is>
          <t>DT-116</t>
        </is>
      </c>
      <c r="B117" s="20" t="inlineStr">
        <is>
          <t>L</t>
        </is>
      </c>
      <c r="C117" s="20" t="inlineStr">
        <is>
          <t>Initiatief in een EU/EER-lidstaat</t>
        </is>
      </c>
      <c r="D117" s="20" t="inlineStr">
        <is>
          <t>Open Energy Twin (Fraunhofer Center Digital Energy)</t>
        </is>
      </c>
      <c r="E117" s="20" t="inlineStr">
        <is>
          <t>Energie</t>
        </is>
      </c>
      <c r="F117" s="20" t="inlineStr">
        <is>
          <t>EU-lidstaat</t>
        </is>
      </c>
      <c r="G117" s="20" t="inlineStr">
        <is>
          <t>DE</t>
        </is>
      </c>
      <c r="H117" s="20" t="inlineStr">
        <is>
          <t>Faciliteit/R&amp;D</t>
        </is>
      </c>
      <c r="I117" s="20" t="inlineStr">
        <is>
          <t>Sturing &amp; optimalisatie</t>
        </is>
      </c>
      <c r="J117" s="20" t="inlineStr">
        <is>
          <t>Inzicht &amp; monitoring</t>
        </is>
      </c>
      <c r="K117" s="20" t="inlineStr">
        <is>
          <t>Net / nationaal systeem</t>
        </is>
      </c>
      <c r="L117" s="20" t="inlineStr">
        <is>
          <t>Tweeling (beoogd)</t>
        </is>
      </c>
      <c r="M117" s="20" t="inlineStr">
        <is>
          <t>Multi-commodity</t>
        </is>
      </c>
      <c r="N117" s="20" t="inlineStr">
        <is>
          <t>2 Pilot/PoC</t>
        </is>
      </c>
      <c r="O117" s="20" t="inlineStr">
        <is>
          <t>LF Energy (geassocieerd)</t>
        </is>
      </c>
      <c r="P117" s="20" t="inlineStr">
        <is>
          <t>LFE</t>
        </is>
      </c>
      <c r="Q117" s="20" t="inlineStr">
        <is>
          <t>BS-CIM;BS-IEC61850</t>
        </is>
      </c>
      <c r="R117" s="20" t="inlineStr">
        <is>
          <t>OFFIS, RWTH Aachen (IEAW, ACS), Fraunhofer FIT; geassocieerd: E.ON, EWE NETZ, Netze BW, PSI, Siemens, openKONSEQUENZ, LF Energy; gefinancierd door BMWE</t>
        </is>
      </c>
      <c r="S117" s="20" t="inlineStr">
        <is>
          <t>Geen</t>
        </is>
      </c>
      <c r="T117" s="20" t="inlineStr">
        <is>
          <t>Lopend; open-source, modulair real-time platform als opvolger van monolithische SCADA</t>
        </is>
      </c>
      <c r="U117" s="20" t="inlineStr">
        <is>
          <t>Open twin-platform op CIM en IEC 61850 met DSO's en LF Energy: model voor een open NL-referentie</t>
        </is>
      </c>
      <c r="V117" s="20" t="inlineStr">
        <is>
          <t>https://www.digitale-energie.fraunhofer.de/en/projects/021-open-energy-twin-en.html</t>
        </is>
      </c>
      <c r="W117" s="20" t="n">
        <v>50.78</v>
      </c>
      <c r="X117" s="20" t="n">
        <v>6.08</v>
      </c>
      <c r="Y117" s="20" t="inlineStr">
        <is>
          <t>v5</t>
        </is>
      </c>
      <c r="Z117" s="23" t="inlineStr">
        <is>
          <t>nee</t>
        </is>
      </c>
      <c r="AA117" s="20" t="inlineStr">
        <is>
          <t>Twin-instantie</t>
        </is>
      </c>
      <c r="AB117" s="20" t="inlineStr">
        <is>
          <t>Tweeling</t>
        </is>
      </c>
      <c r="AC117" s="20" t="inlineStr">
        <is>
          <t>Beoogd</t>
        </is>
      </c>
      <c r="AD117" s="20" t="inlineStr">
        <is>
          <t>5 Sturende tweeling (beoogd)</t>
        </is>
      </c>
      <c r="AE117" s="20" t="inlineStr">
        <is>
          <t>Multi-commodity (dragers niet gespecificeerd)</t>
        </is>
      </c>
      <c r="AF117" s="20" t="inlineStr">
        <is>
          <t>Geen</t>
        </is>
      </c>
      <c r="AG117" s="20" t="inlineStr">
        <is>
          <t>B primaire bron</t>
        </is>
      </c>
    </row>
    <row r="118" ht="41.75" customHeight="1" s="15">
      <c r="A118" s="20" t="inlineStr">
        <is>
          <t>DT-117</t>
        </is>
      </c>
      <c r="B118" s="20" t="inlineStr">
        <is>
          <t>L</t>
        </is>
      </c>
      <c r="C118" s="20" t="inlineStr">
        <is>
          <t>Initiatief in een EU/EER-lidstaat</t>
        </is>
      </c>
      <c r="D118" s="20" t="inlineStr">
        <is>
          <t>KIT Energy Lab 2.0: digitale tweeling van het Duitse energiesysteem</t>
        </is>
      </c>
      <c r="E118" s="20" t="inlineStr">
        <is>
          <t>Energie</t>
        </is>
      </c>
      <c r="F118" s="20" t="inlineStr">
        <is>
          <t>EU-lidstaat</t>
        </is>
      </c>
      <c r="G118" s="20" t="inlineStr">
        <is>
          <t>DE</t>
        </is>
      </c>
      <c r="H118" s="20" t="inlineStr">
        <is>
          <t>Faciliteit/R&amp;D</t>
        </is>
      </c>
      <c r="I118" s="20" t="inlineStr">
        <is>
          <t>Scenario &amp; planning</t>
        </is>
      </c>
      <c r="J118" s="20" t="inlineStr">
        <is>
          <t>Onderzoek &amp; training</t>
        </is>
      </c>
      <c r="K118" s="20" t="inlineStr">
        <is>
          <t>Net / nationaal systeem</t>
        </is>
      </c>
      <c r="L118" s="20" t="inlineStr">
        <is>
          <t>Tweeling (lab)</t>
        </is>
      </c>
      <c r="M118" s="20" t="inlineStr">
        <is>
          <t>Multi-commodity</t>
        </is>
      </c>
      <c r="N118" s="20" t="inlineStr">
        <is>
          <t>3 Demonstratie/lab</t>
        </is>
      </c>
      <c r="O118" s="20" t="inlineStr">
        <is>
          <t>-</t>
        </is>
      </c>
      <c r="P118" s="20" t="inlineStr">
        <is>
          <t>-</t>
        </is>
      </c>
      <c r="Q118" s="20" t="n"/>
      <c r="R118" s="20" t="inlineStr">
        <is>
          <t>Karlsruher Institut für Technologie; grotendeels gefinancierd door BMBF</t>
        </is>
      </c>
      <c r="S118" s="20" t="inlineStr">
        <is>
          <t>Geen</t>
        </is>
      </c>
      <c r="T118" s="20" t="inlineStr">
        <is>
          <t>Simulatie gestart 28-10-2022; koppelt echte installaties (PV, batterij, Power-to-X) aan het gesimuleerde systeem</t>
        </is>
      </c>
      <c r="U118" s="20" t="inlineStr">
        <is>
          <t>Hardware-in-the-loop-faciliteit vergelijkbaar met de Nationale Faciliteit en het ESP-lab</t>
        </is>
      </c>
      <c r="V118" s="20" t="inlineStr">
        <is>
          <t>https://www.solarserver.de/2022/10/28/digitaler-zwilling-fuer-deutschlands-energiesystem/</t>
        </is>
      </c>
      <c r="W118" s="20" t="n">
        <v>49.01</v>
      </c>
      <c r="X118" s="20" t="n">
        <v>8.4</v>
      </c>
      <c r="Y118" s="20" t="inlineStr">
        <is>
          <t>v5</t>
        </is>
      </c>
      <c r="Z118" s="23" t="inlineStr">
        <is>
          <t>nee</t>
        </is>
      </c>
      <c r="AA118" s="20" t="inlineStr">
        <is>
          <t>Twin-instantie</t>
        </is>
      </c>
      <c r="AB118" s="20" t="inlineStr">
        <is>
          <t>Tweeling</t>
        </is>
      </c>
      <c r="AC118" s="20" t="inlineStr">
        <is>
          <t>Lab</t>
        </is>
      </c>
      <c r="AD118" s="20" t="inlineStr">
        <is>
          <t>5 Sturende tweeling (lab)</t>
        </is>
      </c>
      <c r="AE118" s="20" t="inlineStr">
        <is>
          <t>Multi-commodity (dragers niet gespecificeerd)</t>
        </is>
      </c>
      <c r="AF118" s="20" t="inlineStr">
        <is>
          <t>Geen</t>
        </is>
      </c>
      <c r="AG118" s="20" t="inlineStr">
        <is>
          <t>C secundaire bron</t>
        </is>
      </c>
    </row>
    <row r="119" ht="28.35" customHeight="1" s="15">
      <c r="A119" s="20" t="inlineStr">
        <is>
          <t>DT-118</t>
        </is>
      </c>
      <c r="B119" s="20" t="inlineStr">
        <is>
          <t>L</t>
        </is>
      </c>
      <c r="C119" s="20" t="inlineStr">
        <is>
          <t>Initiatief in een EU/EER-lidstaat</t>
        </is>
      </c>
      <c r="D119" s="20" t="inlineStr">
        <is>
          <t>Connected Urban Twins (Hamburg, Leipzig, München)</t>
        </is>
      </c>
      <c r="E119" s="20" t="inlineStr">
        <is>
          <t>GO</t>
        </is>
      </c>
      <c r="F119" s="20" t="inlineStr">
        <is>
          <t>EU-lidstaat</t>
        </is>
      </c>
      <c r="G119" s="20" t="inlineStr">
        <is>
          <t>DE</t>
        </is>
      </c>
      <c r="H119" s="20" t="inlineStr">
        <is>
          <t>Bouwsteen</t>
        </is>
      </c>
      <c r="I119" s="20" t="inlineStr">
        <is>
          <t>Gezamenlijke besluitvorming</t>
        </is>
      </c>
      <c r="J119" s="20" t="inlineStr">
        <is>
          <t>Scenario &amp; planning</t>
        </is>
      </c>
      <c r="K119" s="20" t="inlineStr">
        <is>
          <t>Gemeente / regio</t>
        </is>
      </c>
      <c r="L119" s="20" t="inlineStr">
        <is>
          <t>Model/schaduw</t>
        </is>
      </c>
      <c r="M119" s="20" t="inlineStr">
        <is>
          <t>GO</t>
        </is>
      </c>
      <c r="N119" s="20" t="inlineStr">
        <is>
          <t>5 Opgeschaald</t>
        </is>
      </c>
      <c r="O119" s="20" t="inlineStr">
        <is>
          <t>LDT</t>
        </is>
      </c>
      <c r="P119" s="20" t="inlineStr">
        <is>
          <t>EU-LDT</t>
        </is>
      </c>
      <c r="Q119" s="20" t="n"/>
      <c r="R119" s="20" t="inlineStr">
        <is>
          <t>Hamburg, Leipzig, München</t>
        </is>
      </c>
      <c r="S119" s="20" t="inlineStr">
        <is>
          <t>Geen</t>
        </is>
      </c>
      <c r="T119" s="20" t="inlineStr">
        <is>
          <t>Afgerond 2025; toolbox met 60+ open-sourcecomponenten en DIN SPEC 91607</t>
        </is>
      </c>
      <c r="U119" s="20" t="inlineStr">
        <is>
          <t>Replicatieblauwdruk voor stedelijke twins; energie beperkt aanwezig</t>
        </is>
      </c>
      <c r="V119" s="20" t="inlineStr">
        <is>
          <t>https://www.connectedurbantwins.de/en/toolbox/</t>
        </is>
      </c>
      <c r="W119" s="20" t="n">
        <v>53.55</v>
      </c>
      <c r="X119" s="20" t="n">
        <v>9.99</v>
      </c>
      <c r="Y119" s="20" t="inlineStr">
        <is>
          <t>v5</t>
        </is>
      </c>
      <c r="Z119" s="23" t="inlineStr">
        <is>
          <t>nee</t>
        </is>
      </c>
      <c r="AA119" s="20" t="inlineStr">
        <is>
          <t>Stelsel (bouwsteen)</t>
        </is>
      </c>
      <c r="AB119" s="20" t="inlineStr">
        <is>
          <t>Model of schaduw (onzeker)</t>
        </is>
      </c>
      <c r="AC119" s="20" t="inlineStr">
        <is>
          <t>Gerealiseerd</t>
        </is>
      </c>
      <c r="AD119" s="20" t="inlineStr">
        <is>
          <t>4 Scenario-tweeling</t>
        </is>
      </c>
      <c r="AE119" s="20" t="inlineStr">
        <is>
          <t>n.v.t.</t>
        </is>
      </c>
      <c r="AF119" s="20" t="inlineStr">
        <is>
          <t>Geen</t>
        </is>
      </c>
      <c r="AG119" s="20" t="inlineStr">
        <is>
          <t>B primaire bron</t>
        </is>
      </c>
    </row>
    <row r="120" ht="55.2" customHeight="1" s="15">
      <c r="A120" s="20" t="inlineStr">
        <is>
          <t>DT-119</t>
        </is>
      </c>
      <c r="B120" s="20" t="inlineStr">
        <is>
          <t>L</t>
        </is>
      </c>
      <c r="C120" s="20" t="inlineStr">
        <is>
          <t>Initiatief in een EU/EER-lidstaat</t>
        </is>
      </c>
      <c r="D120" s="20" t="inlineStr">
        <is>
          <t>JUNN: nationale digitale tweeling Frankrijk (jumeau numérique national)</t>
        </is>
      </c>
      <c r="E120" s="20" t="inlineStr">
        <is>
          <t>Energie + GO</t>
        </is>
      </c>
      <c r="F120" s="20" t="inlineStr">
        <is>
          <t>EU-lidstaat</t>
        </is>
      </c>
      <c r="G120" s="20" t="inlineStr">
        <is>
          <t>FR</t>
        </is>
      </c>
      <c r="H120" s="20" t="inlineStr">
        <is>
          <t>Kader</t>
        </is>
      </c>
      <c r="I120" s="20" t="inlineStr">
        <is>
          <t>Scenario &amp; planning</t>
        </is>
      </c>
      <c r="J120" s="20" t="inlineStr">
        <is>
          <t>Gezamenlijke besluitvorming</t>
        </is>
      </c>
      <c r="K120" s="20" t="inlineStr">
        <is>
          <t>Net / nationaal systeem</t>
        </is>
      </c>
      <c r="L120" s="20" t="inlineStr">
        <is>
          <t>Model/schaduw</t>
        </is>
      </c>
      <c r="M120" s="20" t="inlineStr">
        <is>
          <t>GO (incl. ruimte voor hernieuwbare energie)</t>
        </is>
      </c>
      <c r="N120" s="20" t="inlineStr">
        <is>
          <t>2 Pilot/PoC</t>
        </is>
      </c>
      <c r="O120" s="20" t="inlineStr">
        <is>
          <t>LDT</t>
        </is>
      </c>
      <c r="P120" s="20" t="inlineStr">
        <is>
          <t>EU-LDT</t>
        </is>
      </c>
      <c r="Q120" s="20" t="n"/>
      <c r="R120" s="20" t="inlineStr">
        <is>
          <t>IGN, Cerema, Inria; consortium van 14 partners (o.a. CNES, IFPEN, BRGM), Dassault Systèmes als 15e</t>
        </is>
      </c>
      <c r="S120" s="20" t="inlineStr">
        <is>
          <t>Geen</t>
        </is>
      </c>
      <c r="T120" s="20" t="inlineStr">
        <is>
          <t>Gelanceerd 13-4-2026; €25 mln over 3 jaar (France 2030, Banque des Territoires) + €14 mln partners; 4 pilotdepartementen; ca. 200 actoren</t>
        </is>
      </c>
      <c r="U120" s="20" t="inlineStr">
        <is>
          <t>Nationale publieke twin-infrastructuur voor alle gemeenten; energietoepassing: zoekgebieden hernieuwbare energie (APER-wet): vergelijkbaar met NLDT plus RES</t>
        </is>
      </c>
      <c r="V120" s="20" t="inlineStr">
        <is>
          <t>https://www.banquedesterritoires.fr/lancement-de-junn-un-jumeau-numerique-national-au-service-de-tous-les-territoires</t>
        </is>
      </c>
      <c r="W120" s="20" t="n">
        <v>48.86</v>
      </c>
      <c r="X120" s="20" t="n">
        <v>2.35</v>
      </c>
      <c r="Y120" s="20" t="inlineStr">
        <is>
          <t>v5</t>
        </is>
      </c>
      <c r="Z120" s="23" t="inlineStr">
        <is>
          <t>nee</t>
        </is>
      </c>
      <c r="AA120" s="20" t="inlineStr">
        <is>
          <t>Ecosysteem</t>
        </is>
      </c>
      <c r="AB120" s="20" t="inlineStr">
        <is>
          <t>Model of schaduw (onzeker)</t>
        </is>
      </c>
      <c r="AC120" s="20" t="inlineStr">
        <is>
          <t>Gerealiseerd</t>
        </is>
      </c>
      <c r="AD120" s="20" t="inlineStr">
        <is>
          <t>4 Scenario-tweeling</t>
        </is>
      </c>
      <c r="AE120" s="20" t="inlineStr">
        <is>
          <t>n.v.t.</t>
        </is>
      </c>
      <c r="AF120" s="20" t="inlineStr">
        <is>
          <t>Geen</t>
        </is>
      </c>
      <c r="AG120" s="20" t="inlineStr">
        <is>
          <t>B primaire bron</t>
        </is>
      </c>
    </row>
    <row r="121" ht="41.75" customHeight="1" s="15">
      <c r="A121" s="20" t="inlineStr">
        <is>
          <t>DT-120</t>
        </is>
      </c>
      <c r="B121" s="20" t="inlineStr">
        <is>
          <t>L</t>
        </is>
      </c>
      <c r="C121" s="20" t="inlineStr">
        <is>
          <t>Initiatief in een EU/EER-lidstaat</t>
        </is>
      </c>
      <c r="D121" s="20" t="inlineStr">
        <is>
          <t>e-distribución (Endesa): digital twin van het distributienet</t>
        </is>
      </c>
      <c r="E121" s="20" t="inlineStr">
        <is>
          <t>Energie</t>
        </is>
      </c>
      <c r="F121" s="20" t="inlineStr">
        <is>
          <t>EU-lidstaat</t>
        </is>
      </c>
      <c r="G121" s="20" t="inlineStr">
        <is>
          <t>ES</t>
        </is>
      </c>
      <c r="H121" s="20" t="inlineStr">
        <is>
          <t>Twin-instantie</t>
        </is>
      </c>
      <c r="I121" s="20" t="inlineStr">
        <is>
          <t>Inzicht &amp; monitoring</t>
        </is>
      </c>
      <c r="J121" s="20" t="inlineStr">
        <is>
          <t>Sturing &amp; optimalisatie</t>
        </is>
      </c>
      <c r="K121" s="20" t="inlineStr">
        <is>
          <t>Net / nationaal systeem</t>
        </is>
      </c>
      <c r="L121" s="20" t="inlineStr">
        <is>
          <t>Schaduw</t>
        </is>
      </c>
      <c r="M121" s="20" t="inlineStr">
        <is>
          <t>Elektriciteit</t>
        </is>
      </c>
      <c r="N121" s="20" t="inlineStr">
        <is>
          <t>4 Operationeel</t>
        </is>
      </c>
      <c r="O121" s="20" t="inlineStr">
        <is>
          <t>-</t>
        </is>
      </c>
      <c r="P121" s="20" t="inlineStr">
        <is>
          <t>-</t>
        </is>
      </c>
      <c r="Q121" s="20" t="n"/>
      <c r="R121" s="20" t="inlineStr">
        <is>
          <t>e-distribución (Endesa)</t>
        </is>
      </c>
      <c r="S121" s="20" t="inlineStr">
        <is>
          <t>Geen</t>
        </is>
      </c>
      <c r="T121" s="20" t="inlineStr">
        <is>
          <t>Investering €40 mln (2023); 90.000 km lijnen, 1.311 onderstations, 144.000 distributiecentra ingemeten</t>
        </is>
      </c>
      <c r="U121" s="20" t="inlineStr">
        <is>
          <t>Grootschalige DSO-twin voor storingsdetectie en voorspellend onderhoud; vergelijkbaar met Liander-assetinventaris</t>
        </is>
      </c>
      <c r="V121" s="20" t="inlineStr">
        <is>
          <t>https://kurrant.com/kurrantly-news/endesa-invests-in-digital-twin-for-enhanced-network-management/</t>
        </is>
      </c>
      <c r="W121" s="20" t="n">
        <v>40.42</v>
      </c>
      <c r="X121" s="20" t="n">
        <v>-3.7</v>
      </c>
      <c r="Y121" s="20" t="inlineStr">
        <is>
          <t>v5</t>
        </is>
      </c>
      <c r="Z121" s="23" t="inlineStr">
        <is>
          <t>nee</t>
        </is>
      </c>
      <c r="AA121" s="20" t="inlineStr">
        <is>
          <t>Twin-instantie</t>
        </is>
      </c>
      <c r="AB121" s="20" t="inlineStr">
        <is>
          <t>Schaduw</t>
        </is>
      </c>
      <c r="AC121" s="20" t="inlineStr">
        <is>
          <t>Gerealiseerd</t>
        </is>
      </c>
      <c r="AD121" s="20" t="inlineStr">
        <is>
          <t>2 Digitale schaduw</t>
        </is>
      </c>
      <c r="AE121" s="20" t="inlineStr">
        <is>
          <t>Elektriciteit</t>
        </is>
      </c>
      <c r="AF121" s="20" t="inlineStr">
        <is>
          <t>Geen</t>
        </is>
      </c>
      <c r="AG121" s="20" t="inlineStr">
        <is>
          <t>C secundaire bron</t>
        </is>
      </c>
    </row>
    <row r="122" ht="41.75" customHeight="1" s="15">
      <c r="A122" s="20" t="inlineStr">
        <is>
          <t>DT-121</t>
        </is>
      </c>
      <c r="B122" s="20" t="inlineStr">
        <is>
          <t>L</t>
        </is>
      </c>
      <c r="C122" s="20" t="inlineStr">
        <is>
          <t>Initiatief in een EU/EER-lidstaat</t>
        </is>
      </c>
      <c r="D122" s="20" t="inlineStr">
        <is>
          <t>ENET-RTLab: nationaal real-time lab, twin van het Italiaanse elektriciteitssysteem</t>
        </is>
      </c>
      <c r="E122" s="20" t="inlineStr">
        <is>
          <t>Energie</t>
        </is>
      </c>
      <c r="F122" s="20" t="inlineStr">
        <is>
          <t>EU-lidstaat</t>
        </is>
      </c>
      <c r="G122" s="20" t="inlineStr">
        <is>
          <t>IT</t>
        </is>
      </c>
      <c r="H122" s="20" t="inlineStr">
        <is>
          <t>Faciliteit/R&amp;D</t>
        </is>
      </c>
      <c r="I122" s="20" t="inlineStr">
        <is>
          <t>Onderzoek &amp; training</t>
        </is>
      </c>
      <c r="J122" s="20" t="inlineStr">
        <is>
          <t>Scenario &amp; planning</t>
        </is>
      </c>
      <c r="K122" s="20" t="inlineStr">
        <is>
          <t>Net / nationaal systeem</t>
        </is>
      </c>
      <c r="L122" s="20" t="inlineStr">
        <is>
          <t>Tweeling (lab)</t>
        </is>
      </c>
      <c r="M122" s="20" t="inlineStr">
        <is>
          <t>Elektriciteit</t>
        </is>
      </c>
      <c r="N122" s="20" t="inlineStr">
        <is>
          <t>3 Demonstratie/lab</t>
        </is>
      </c>
      <c r="O122" s="20" t="inlineStr">
        <is>
          <t>-</t>
        </is>
      </c>
      <c r="P122" s="20" t="inlineStr">
        <is>
          <t>-</t>
        </is>
      </c>
      <c r="Q122" s="20" t="n"/>
      <c r="R122" s="20" t="inlineStr">
        <is>
          <t>Politecnico di Torino e.a. (consortium te verifiëren)</t>
        </is>
      </c>
      <c r="S122" s="20" t="inlineStr">
        <is>
          <t>Geen</t>
        </is>
      </c>
      <c r="T122" s="20" t="inlineStr">
        <is>
          <t>Nationaal lab voor real-time simulatie van de Italiaanse elektriciteitsinfrastructuur (bron beperkt leesbaar)</t>
        </is>
      </c>
      <c r="U122" s="20" t="inlineStr">
        <is>
          <t>Vergelijkbaar met Nationale Faciliteit en ESP-lab: kandidaat voor Europese labkoppeling</t>
        </is>
      </c>
      <c r="V122" s="20" t="inlineStr">
        <is>
          <t>https://www.infobuild.it/approfondimenti/digital-twin-sistema-elettrico-energia/</t>
        </is>
      </c>
      <c r="W122" s="20" t="n">
        <v>45.07</v>
      </c>
      <c r="X122" s="20" t="n">
        <v>7.69</v>
      </c>
      <c r="Y122" s="20" t="inlineStr">
        <is>
          <t>v5</t>
        </is>
      </c>
      <c r="Z122" s="23" t="inlineStr">
        <is>
          <t>nee</t>
        </is>
      </c>
      <c r="AA122" s="20" t="inlineStr">
        <is>
          <t>Twin-instantie</t>
        </is>
      </c>
      <c r="AB122" s="20" t="inlineStr">
        <is>
          <t>Tweeling</t>
        </is>
      </c>
      <c r="AC122" s="20" t="inlineStr">
        <is>
          <t>Lab</t>
        </is>
      </c>
      <c r="AD122" s="20" t="inlineStr">
        <is>
          <t>5 Sturende tweeling (lab)</t>
        </is>
      </c>
      <c r="AE122" s="20" t="inlineStr">
        <is>
          <t>Elektriciteit</t>
        </is>
      </c>
      <c r="AF122" s="20" t="inlineStr">
        <is>
          <t>Geen</t>
        </is>
      </c>
      <c r="AG122" s="20" t="inlineStr">
        <is>
          <t>D aanname</t>
        </is>
      </c>
    </row>
    <row r="123" ht="41.75" customHeight="1" s="15">
      <c r="A123" s="20" t="inlineStr">
        <is>
          <t>DT-122</t>
        </is>
      </c>
      <c r="B123" s="20" t="inlineStr">
        <is>
          <t>L</t>
        </is>
      </c>
      <c r="C123" s="20" t="inlineStr">
        <is>
          <t>Initiatief in een EU/EER-lidstaat</t>
        </is>
      </c>
      <c r="D123" s="20" t="inlineStr">
        <is>
          <t>Terna: digital twins in assetmanagement (Industrieplan 2024-2028)</t>
        </is>
      </c>
      <c r="E123" s="20" t="inlineStr">
        <is>
          <t>Energie</t>
        </is>
      </c>
      <c r="F123" s="20" t="inlineStr">
        <is>
          <t>EU-lidstaat</t>
        </is>
      </c>
      <c r="G123" s="20" t="inlineStr">
        <is>
          <t>IT</t>
        </is>
      </c>
      <c r="H123" s="20" t="inlineStr">
        <is>
          <t>Twin-instantie</t>
        </is>
      </c>
      <c r="I123" s="20" t="inlineStr">
        <is>
          <t>Inzicht &amp; monitoring</t>
        </is>
      </c>
      <c r="J123" s="20" t="inlineStr">
        <is>
          <t>Voorspellen</t>
        </is>
      </c>
      <c r="K123" s="20" t="inlineStr">
        <is>
          <t>Asset / installatie</t>
        </is>
      </c>
      <c r="L123" s="20" t="inlineStr">
        <is>
          <t>Schaduw</t>
        </is>
      </c>
      <c r="M123" s="20" t="inlineStr">
        <is>
          <t>Elektriciteit</t>
        </is>
      </c>
      <c r="N123" s="20" t="inlineStr">
        <is>
          <t>3 Demonstratie/lab</t>
        </is>
      </c>
      <c r="O123" s="20" t="inlineStr">
        <is>
          <t>-</t>
        </is>
      </c>
      <c r="P123" s="20" t="inlineStr">
        <is>
          <t>-</t>
        </is>
      </c>
      <c r="Q123" s="20" t="n"/>
      <c r="R123" s="20" t="inlineStr">
        <is>
          <t>Terna (TSO)</t>
        </is>
      </c>
      <c r="S123" s="20" t="inlineStr">
        <is>
          <t>Geen</t>
        </is>
      </c>
      <c r="T123" s="20" t="inlineStr">
        <is>
          <t>Twins, IoT en predictive tools in assetmanagement; ca. €2 mld voor digitalisering en innovatie (+60%)</t>
        </is>
      </c>
      <c r="U123" s="20" t="inlineStr">
        <is>
          <t>TSO-twin vooral voor assetmanagement, niet voor systeemsturing</t>
        </is>
      </c>
      <c r="V123" s="20" t="inlineStr">
        <is>
          <t>https://www.enlit.world/library/italy-s-terna-announces-16-5bn-investment-plan-guided-by-twin-transition</t>
        </is>
      </c>
      <c r="W123" s="20" t="n">
        <v>41.9</v>
      </c>
      <c r="X123" s="20" t="n">
        <v>12.5</v>
      </c>
      <c r="Y123" s="20" t="inlineStr">
        <is>
          <t>v5</t>
        </is>
      </c>
      <c r="Z123" s="23" t="inlineStr">
        <is>
          <t>nee</t>
        </is>
      </c>
      <c r="AA123" s="20" t="inlineStr">
        <is>
          <t>Twin-instantie</t>
        </is>
      </c>
      <c r="AB123" s="20" t="inlineStr">
        <is>
          <t>Schaduw</t>
        </is>
      </c>
      <c r="AC123" s="20" t="inlineStr">
        <is>
          <t>Gerealiseerd</t>
        </is>
      </c>
      <c r="AD123" s="20" t="inlineStr">
        <is>
          <t>3 Voorspellende schaduw</t>
        </is>
      </c>
      <c r="AE123" s="20" t="inlineStr">
        <is>
          <t>Elektriciteit</t>
        </is>
      </c>
      <c r="AF123" s="20" t="inlineStr">
        <is>
          <t>Geen</t>
        </is>
      </c>
      <c r="AG123" s="20" t="inlineStr">
        <is>
          <t>C secundaire bron</t>
        </is>
      </c>
    </row>
    <row r="124" ht="55.2" customHeight="1" s="15">
      <c r="A124" s="20" t="inlineStr">
        <is>
          <t>DT-123</t>
        </is>
      </c>
      <c r="B124" s="20" t="inlineStr">
        <is>
          <t>L</t>
        </is>
      </c>
      <c r="C124" s="20" t="inlineStr">
        <is>
          <t>Initiatief in een EU/EER-lidstaat</t>
        </is>
      </c>
      <c r="D124" s="20" t="inlineStr">
        <is>
          <t>EDiT: nationale digitale tweeling van het elektriciteitsnet (Zweden)</t>
        </is>
      </c>
      <c r="E124" s="20" t="inlineStr">
        <is>
          <t>Energie</t>
        </is>
      </c>
      <c r="F124" s="20" t="inlineStr">
        <is>
          <t>EU-lidstaat</t>
        </is>
      </c>
      <c r="G124" s="20" t="inlineStr">
        <is>
          <t>SE</t>
        </is>
      </c>
      <c r="H124" s="20" t="inlineStr">
        <is>
          <t>Faciliteit/R&amp;D</t>
        </is>
      </c>
      <c r="I124" s="20" t="inlineStr">
        <is>
          <t>Scenario &amp; planning</t>
        </is>
      </c>
      <c r="J124" s="20" t="inlineStr">
        <is>
          <t>Onderzoek &amp; training, Sturing &amp; optimalisatie</t>
        </is>
      </c>
      <c r="K124" s="20" t="inlineStr">
        <is>
          <t>Net / nationaal systeem</t>
        </is>
      </c>
      <c r="L124" s="20" t="inlineStr">
        <is>
          <t>Tweeling (beoogd)</t>
        </is>
      </c>
      <c r="M124" s="20" t="inlineStr">
        <is>
          <t>Elektriciteit</t>
        </is>
      </c>
      <c r="N124" s="20" t="inlineStr">
        <is>
          <t>1 Verkenning</t>
        </is>
      </c>
      <c r="O124" s="20" t="inlineStr">
        <is>
          <t>-</t>
        </is>
      </c>
      <c r="P124" s="20" t="inlineStr">
        <is>
          <t>-</t>
        </is>
      </c>
      <c r="Q124" s="20" t="n"/>
      <c r="R124" s="20" t="inlineStr">
        <is>
          <t>RISE (trekker); KTH, Uppsala, Chalmers, Lund; Svenska kraftnät, Vattenfall, Ellevio, E.ON, Göteborg Energi, Ericsson, Telia, DNV e.a.</t>
        </is>
      </c>
      <c r="S124" s="20" t="inlineStr">
        <is>
          <t>Geen</t>
        </is>
      </c>
      <c r="T124" s="20" t="inlineStr">
        <is>
          <t>1-5-2026 t/m 30-4-2029; 52 mln SEK; gefinancierd door Vinnova en Svenska kraftnät</t>
        </is>
      </c>
      <c r="U124" s="20" t="inlineStr">
        <is>
          <t>Directe tegenhanger van de NL Nationale Faciliteit: systeemdemonstrator om technische, markt- en regelgevingsoplossingen te toetsen vóór invoering. Uitwisseling zinvol</t>
        </is>
      </c>
      <c r="V124" s="20" t="inlineStr">
        <is>
          <t>https://www.ri.se/en/energy-and-electrification/project/national-digital-twin-for-the-electricity-grid</t>
        </is>
      </c>
      <c r="W124" s="20" t="n">
        <v>59.33</v>
      </c>
      <c r="X124" s="20" t="n">
        <v>18.07</v>
      </c>
      <c r="Y124" s="20" t="inlineStr">
        <is>
          <t>v5</t>
        </is>
      </c>
      <c r="Z124" s="23" t="inlineStr">
        <is>
          <t>nee</t>
        </is>
      </c>
      <c r="AA124" s="20" t="inlineStr">
        <is>
          <t>Twin-instantie</t>
        </is>
      </c>
      <c r="AB124" s="20" t="inlineStr">
        <is>
          <t>Tweeling</t>
        </is>
      </c>
      <c r="AC124" s="20" t="inlineStr">
        <is>
          <t>Beoogd</t>
        </is>
      </c>
      <c r="AD124" s="20" t="inlineStr">
        <is>
          <t>5 Sturende tweeling (beoogd)</t>
        </is>
      </c>
      <c r="AE124" s="20" t="inlineStr">
        <is>
          <t>Elektriciteit</t>
        </is>
      </c>
      <c r="AF124" s="20" t="inlineStr">
        <is>
          <t>Geen</t>
        </is>
      </c>
      <c r="AG124" s="20" t="inlineStr">
        <is>
          <t>B primaire bron</t>
        </is>
      </c>
    </row>
    <row r="125" ht="28.35" customHeight="1" s="15">
      <c r="A125" s="20" t="inlineStr">
        <is>
          <t>DT-124</t>
        </is>
      </c>
      <c r="B125" s="20" t="inlineStr">
        <is>
          <t>L</t>
        </is>
      </c>
      <c r="C125" s="20" t="inlineStr">
        <is>
          <t>Initiatief in een EU/EER-lidstaat</t>
        </is>
      </c>
      <c r="D125" s="20" t="inlineStr">
        <is>
          <t>Tensio: Kognitwin Grid (Noorwegen, EER)</t>
        </is>
      </c>
      <c r="E125" s="20" t="inlineStr">
        <is>
          <t>Energie</t>
        </is>
      </c>
      <c r="F125" s="20" t="inlineStr">
        <is>
          <t>EU-lidstaat</t>
        </is>
      </c>
      <c r="G125" s="20" t="inlineStr">
        <is>
          <t>NO</t>
        </is>
      </c>
      <c r="H125" s="20" t="inlineStr">
        <is>
          <t>Twin-instantie</t>
        </is>
      </c>
      <c r="I125" s="20" t="inlineStr">
        <is>
          <t>Inzicht &amp; monitoring</t>
        </is>
      </c>
      <c r="J125" s="20" t="inlineStr">
        <is>
          <t>Sturing &amp; optimalisatie</t>
        </is>
      </c>
      <c r="K125" s="20" t="inlineStr">
        <is>
          <t>Gemeente / regio</t>
        </is>
      </c>
      <c r="L125" s="20" t="inlineStr">
        <is>
          <t>Schaduw</t>
        </is>
      </c>
      <c r="M125" s="20" t="inlineStr">
        <is>
          <t>Elektriciteit</t>
        </is>
      </c>
      <c r="N125" s="20" t="inlineStr">
        <is>
          <t>2 Pilot/PoC</t>
        </is>
      </c>
      <c r="O125" s="20" t="inlineStr">
        <is>
          <t>-</t>
        </is>
      </c>
      <c r="P125" s="20" t="inlineStr">
        <is>
          <t>-</t>
        </is>
      </c>
      <c r="Q125" s="20" t="n"/>
      <c r="R125" s="20" t="inlineStr">
        <is>
          <t>Tensio (DSO, 250.000 klanten), Kongsberg Digital</t>
        </is>
      </c>
      <c r="S125" s="20" t="inlineStr">
        <is>
          <t>Geen</t>
        </is>
      </c>
      <c r="T125" s="20" t="inlineStr">
        <is>
          <t>Proef van zes maanden in 2021 (SaaS)</t>
        </is>
      </c>
      <c r="U125" s="20" t="inlineStr">
        <is>
          <t>Vroeg voorbeeld van DSO-twin als dienst; Noorwegen is EER-lid, geen EU-lidstaat</t>
        </is>
      </c>
      <c r="V125" s="20" t="inlineStr">
        <is>
          <t>https://www.enlit.world/library/norway-s-tensio-to-trial-power-grid-digital-twin</t>
        </is>
      </c>
      <c r="W125" s="20" t="n">
        <v>63.43</v>
      </c>
      <c r="X125" s="20" t="n">
        <v>10.4</v>
      </c>
      <c r="Y125" s="20" t="inlineStr">
        <is>
          <t>v5</t>
        </is>
      </c>
      <c r="Z125" s="23" t="inlineStr">
        <is>
          <t>nee</t>
        </is>
      </c>
      <c r="AA125" s="20" t="inlineStr">
        <is>
          <t>Twin-instantie</t>
        </is>
      </c>
      <c r="AB125" s="20" t="inlineStr">
        <is>
          <t>Schaduw</t>
        </is>
      </c>
      <c r="AC125" s="20" t="inlineStr">
        <is>
          <t>Gerealiseerd</t>
        </is>
      </c>
      <c r="AD125" s="20" t="inlineStr">
        <is>
          <t>2 Digitale schaduw</t>
        </is>
      </c>
      <c r="AE125" s="20" t="inlineStr">
        <is>
          <t>Elektriciteit</t>
        </is>
      </c>
      <c r="AF125" s="20" t="inlineStr">
        <is>
          <t>Geen</t>
        </is>
      </c>
      <c r="AG125" s="20" t="inlineStr">
        <is>
          <t>C secundaire bron</t>
        </is>
      </c>
    </row>
    <row r="126" ht="41.75" customHeight="1" s="15">
      <c r="A126" s="20" t="inlineStr">
        <is>
          <t>DT-125</t>
        </is>
      </c>
      <c r="B126" s="20" t="inlineStr">
        <is>
          <t>L</t>
        </is>
      </c>
      <c r="C126" s="20" t="inlineStr">
        <is>
          <t>Initiatief in een EU/EER-lidstaat</t>
        </is>
      </c>
      <c r="D126" s="20" t="inlineStr">
        <is>
          <t>ESB Networks: klimaatbestendige netwerktwin (Neara)</t>
        </is>
      </c>
      <c r="E126" s="20" t="inlineStr">
        <is>
          <t>Energie</t>
        </is>
      </c>
      <c r="F126" s="20" t="inlineStr">
        <is>
          <t>EU-lidstaat</t>
        </is>
      </c>
      <c r="G126" s="20" t="inlineStr">
        <is>
          <t>IE</t>
        </is>
      </c>
      <c r="H126" s="20" t="inlineStr">
        <is>
          <t>Twin-instantie</t>
        </is>
      </c>
      <c r="I126" s="20" t="inlineStr">
        <is>
          <t>Scenario &amp; planning</t>
        </is>
      </c>
      <c r="J126" s="20" t="inlineStr">
        <is>
          <t>Inzicht &amp; monitoring</t>
        </is>
      </c>
      <c r="K126" s="20" t="inlineStr">
        <is>
          <t>Net / nationaal systeem</t>
        </is>
      </c>
      <c r="L126" s="20" t="inlineStr">
        <is>
          <t>Model</t>
        </is>
      </c>
      <c r="M126" s="20" t="inlineStr">
        <is>
          <t>Elektriciteit</t>
        </is>
      </c>
      <c r="N126" s="20" t="inlineStr">
        <is>
          <t>3 Demonstratie/lab</t>
        </is>
      </c>
      <c r="O126" s="20" t="inlineStr">
        <is>
          <t>-</t>
        </is>
      </c>
      <c r="P126" s="20" t="inlineStr">
        <is>
          <t>-</t>
        </is>
      </c>
      <c r="Q126" s="20" t="n"/>
      <c r="R126" s="20" t="inlineStr">
        <is>
          <t>ESB Networks (DSO), Neara</t>
        </is>
      </c>
      <c r="S126" s="20" t="inlineStr">
        <is>
          <t>Geen</t>
        </is>
      </c>
      <c r="T126" s="20" t="inlineStr">
        <is>
          <t>Aangekondigd feb. 2024</t>
        </is>
      </c>
      <c r="U126" s="20" t="inlineStr">
        <is>
          <t>Twin voor weerbaarheid tegen extreem weer; sluit aan op ENTSO-E-use case 'high impact, low frequency'</t>
        </is>
      </c>
      <c r="V126" s="20" t="inlineStr">
        <is>
          <t>https://www.enlit.world/library/esb-networks-to-use-digital-twin-to-mitigate-weather-impacts-on-the-grid</t>
        </is>
      </c>
      <c r="W126" s="20" t="n">
        <v>53.35</v>
      </c>
      <c r="X126" s="20" t="n">
        <v>-6.26</v>
      </c>
      <c r="Y126" s="20" t="inlineStr">
        <is>
          <t>v5</t>
        </is>
      </c>
      <c r="Z126" s="23" t="inlineStr">
        <is>
          <t>nee</t>
        </is>
      </c>
      <c r="AA126" s="20" t="inlineStr">
        <is>
          <t>Twin-instantie</t>
        </is>
      </c>
      <c r="AB126" s="20" t="inlineStr">
        <is>
          <t>Model</t>
        </is>
      </c>
      <c r="AC126" s="20" t="inlineStr">
        <is>
          <t>Gerealiseerd</t>
        </is>
      </c>
      <c r="AD126" s="20" t="inlineStr">
        <is>
          <t>1 Digitaal model</t>
        </is>
      </c>
      <c r="AE126" s="20" t="inlineStr">
        <is>
          <t>Elektriciteit</t>
        </is>
      </c>
      <c r="AF126" s="20" t="inlineStr">
        <is>
          <t>Geen</t>
        </is>
      </c>
      <c r="AG126" s="20" t="inlineStr">
        <is>
          <t>C secundaire bron</t>
        </is>
      </c>
    </row>
    <row r="127" ht="41.75" customHeight="1" s="15">
      <c r="A127" s="20" t="inlineStr">
        <is>
          <t>DT-126</t>
        </is>
      </c>
      <c r="B127" s="20" t="inlineStr">
        <is>
          <t>L</t>
        </is>
      </c>
      <c r="C127" s="20" t="inlineStr">
        <is>
          <t>Initiatief in een EU/EER-lidstaat</t>
        </is>
      </c>
      <c r="D127" s="20" t="inlineStr">
        <is>
          <t>DanRETwin: digital twin voor energierenovatie van utiliteitsgebouwen</t>
        </is>
      </c>
      <c r="E127" s="20" t="inlineStr">
        <is>
          <t>Energie + GO</t>
        </is>
      </c>
      <c r="F127" s="20" t="inlineStr">
        <is>
          <t>EU-lidstaat</t>
        </is>
      </c>
      <c r="G127" s="20" t="inlineStr">
        <is>
          <t>DK</t>
        </is>
      </c>
      <c r="H127" s="20" t="inlineStr">
        <is>
          <t>Twin-instantie</t>
        </is>
      </c>
      <c r="I127" s="20" t="inlineStr">
        <is>
          <t>Scenario &amp; planning</t>
        </is>
      </c>
      <c r="J127" s="20" t="inlineStr">
        <is>
          <t>Sturing &amp; optimalisatie</t>
        </is>
      </c>
      <c r="K127" s="20" t="inlineStr">
        <is>
          <t>Gebouw / site</t>
        </is>
      </c>
      <c r="L127" s="20" t="inlineStr">
        <is>
          <t>Schaduw</t>
        </is>
      </c>
      <c r="M127" s="20" t="inlineStr">
        <is>
          <t>Gebouw, warmte</t>
        </is>
      </c>
      <c r="N127" s="20" t="inlineStr">
        <is>
          <t>3 Demonstratie/lab</t>
        </is>
      </c>
      <c r="O127" s="20" t="inlineStr">
        <is>
          <t>-</t>
        </is>
      </c>
      <c r="P127" s="20" t="inlineStr">
        <is>
          <t>-</t>
        </is>
      </c>
      <c r="Q127" s="20" t="n"/>
      <c r="R127" s="20" t="inlineStr">
        <is>
          <t>SDU Center for Energy Informatics, ReMoni, NRGi Rådgivning, Aarhus Kommune; EUDP</t>
        </is>
      </c>
      <c r="S127" s="20" t="inlineStr">
        <is>
          <t>Geen</t>
        </is>
      </c>
      <c r="T127" s="20" t="inlineStr">
        <is>
          <t>1-4-2023 t/m 31-3-2026; 6,4 mln DKK</t>
        </is>
      </c>
      <c r="U127" s="20" t="inlineStr">
        <is>
          <t>Gebouwtwin op operationele data voor renovatiekeuzes: aanvulling op Smart Twin (woningen) en VB Optimum</t>
        </is>
      </c>
      <c r="V127" s="20" t="inlineStr">
        <is>
          <t>https://www.sdu.dk/en/forskning/centreforenergyinformatics/research-projects/danretwin</t>
        </is>
      </c>
      <c r="W127" s="20" t="n">
        <v>55.4</v>
      </c>
      <c r="X127" s="20" t="n">
        <v>10.39</v>
      </c>
      <c r="Y127" s="20" t="inlineStr">
        <is>
          <t>v5</t>
        </is>
      </c>
      <c r="Z127" s="23" t="inlineStr">
        <is>
          <t>nee</t>
        </is>
      </c>
      <c r="AA127" s="20" t="inlineStr">
        <is>
          <t>Twin-instantie</t>
        </is>
      </c>
      <c r="AB127" s="20" t="inlineStr">
        <is>
          <t>Schaduw</t>
        </is>
      </c>
      <c r="AC127" s="20" t="inlineStr">
        <is>
          <t>Gerealiseerd</t>
        </is>
      </c>
      <c r="AD127" s="20" t="inlineStr">
        <is>
          <t>4 Scenario-tweeling</t>
        </is>
      </c>
      <c r="AE127" s="20" t="inlineStr">
        <is>
          <t>Warmte/koude</t>
        </is>
      </c>
      <c r="AF127" s="20" t="inlineStr">
        <is>
          <t>Geen</t>
        </is>
      </c>
      <c r="AG127" s="20" t="inlineStr">
        <is>
          <t>B primaire bron</t>
        </is>
      </c>
    </row>
    <row r="128" ht="28.35" customHeight="1" s="15">
      <c r="A128" s="20" t="inlineStr">
        <is>
          <t>DT-127</t>
        </is>
      </c>
      <c r="B128" s="20" t="inlineStr">
        <is>
          <t>L</t>
        </is>
      </c>
      <c r="C128" s="20" t="inlineStr">
        <is>
          <t>Initiatief in een EU/EER-lidstaat</t>
        </is>
      </c>
      <c r="D128" s="20" t="inlineStr">
        <is>
          <t>Geo3D: Estse nationale 3D-tweeling (Maa- ja Ruumiamet)</t>
        </is>
      </c>
      <c r="E128" s="20" t="inlineStr">
        <is>
          <t>GO</t>
        </is>
      </c>
      <c r="F128" s="20" t="inlineStr">
        <is>
          <t>EU-lidstaat</t>
        </is>
      </c>
      <c r="G128" s="20" t="inlineStr">
        <is>
          <t>EE</t>
        </is>
      </c>
      <c r="H128" s="20" t="inlineStr">
        <is>
          <t>Bouwsteen</t>
        </is>
      </c>
      <c r="I128" s="20" t="inlineStr">
        <is>
          <t>Inzicht &amp; monitoring</t>
        </is>
      </c>
      <c r="J128" s="20" t="inlineStr">
        <is>
          <t>Ontwerp &amp; engineering</t>
        </is>
      </c>
      <c r="K128" s="20" t="inlineStr">
        <is>
          <t>Net / nationaal systeem</t>
        </is>
      </c>
      <c r="L128" s="20" t="inlineStr">
        <is>
          <t>Model</t>
        </is>
      </c>
      <c r="M128" s="20" t="inlineStr">
        <is>
          <t>GO (energielabels in 3D)</t>
        </is>
      </c>
      <c r="N128" s="20" t="inlineStr">
        <is>
          <t>4 Operationeel</t>
        </is>
      </c>
      <c r="O128" s="20" t="inlineStr">
        <is>
          <t>-</t>
        </is>
      </c>
      <c r="P128" s="20" t="inlineStr">
        <is>
          <t>-</t>
        </is>
      </c>
      <c r="Q128" s="20" t="inlineStr">
        <is>
          <t>BS-CITYGML</t>
        </is>
      </c>
      <c r="R128" s="20" t="inlineStr">
        <is>
          <t>Maa- ja Ruumiamet (Land- en Ruimteagentschap)</t>
        </is>
      </c>
      <c r="S128" s="20" t="inlineStr">
        <is>
          <t>Geen</t>
        </is>
      </c>
      <c r="T128" s="20" t="inlineStr">
        <is>
          <t>Strategie 2023; 3D-modellen sinds 2021; X-GIS 3D in 2025 gestart, publiek eind 2026</t>
        </is>
      </c>
      <c r="U128" s="20" t="inlineStr">
        <is>
          <t>Nationale 3D-basis met energielabels per gebouw: vergelijkbaar met 3D BAG plus EP-online</t>
        </is>
      </c>
      <c r="V128" s="20" t="inlineStr">
        <is>
          <t>https://maaruum.ee/en/blogi/geo3d-eesti-ruumiandmete-tulevik</t>
        </is>
      </c>
      <c r="W128" s="20" t="n">
        <v>59.44</v>
      </c>
      <c r="X128" s="20" t="n">
        <v>24.75</v>
      </c>
      <c r="Y128" s="20" t="inlineStr">
        <is>
          <t>v5</t>
        </is>
      </c>
      <c r="Z128" s="23" t="inlineStr">
        <is>
          <t>nee</t>
        </is>
      </c>
      <c r="AA128" s="20" t="inlineStr">
        <is>
          <t>Stelsel (bouwsteen)</t>
        </is>
      </c>
      <c r="AB128" s="20" t="inlineStr">
        <is>
          <t>Model</t>
        </is>
      </c>
      <c r="AC128" s="20" t="inlineStr">
        <is>
          <t>Gerealiseerd</t>
        </is>
      </c>
      <c r="AD128" s="20" t="inlineStr">
        <is>
          <t>1 Digitaal model</t>
        </is>
      </c>
      <c r="AE128" s="20" t="inlineStr">
        <is>
          <t>n.v.t.</t>
        </is>
      </c>
      <c r="AF128" s="20" t="inlineStr">
        <is>
          <t>Geen</t>
        </is>
      </c>
      <c r="AG128" s="20" t="inlineStr">
        <is>
          <t>B primaire bron</t>
        </is>
      </c>
    </row>
    <row r="129" ht="41.75" customHeight="1" s="15">
      <c r="A129" s="20" t="inlineStr">
        <is>
          <t>DT-128</t>
        </is>
      </c>
      <c r="B129" s="20" t="inlineStr">
        <is>
          <t>L</t>
        </is>
      </c>
      <c r="C129" s="20" t="inlineStr">
        <is>
          <t>Initiatief in een EU/EER-lidstaat</t>
        </is>
      </c>
      <c r="D129" s="20" t="inlineStr">
        <is>
          <t>Helsinki Energy and Climate Atlas</t>
        </is>
      </c>
      <c r="E129" s="20" t="inlineStr">
        <is>
          <t>Energie + GO</t>
        </is>
      </c>
      <c r="F129" s="20" t="inlineStr">
        <is>
          <t>EU-lidstaat</t>
        </is>
      </c>
      <c r="G129" s="20" t="inlineStr">
        <is>
          <t>FI</t>
        </is>
      </c>
      <c r="H129" s="20" t="inlineStr">
        <is>
          <t>Twin-instantie</t>
        </is>
      </c>
      <c r="I129" s="20" t="inlineStr">
        <is>
          <t>Scenario &amp; planning</t>
        </is>
      </c>
      <c r="J129" s="20" t="inlineStr">
        <is>
          <t>Inzicht &amp; monitoring</t>
        </is>
      </c>
      <c r="K129" s="20" t="inlineStr">
        <is>
          <t>Gemeente / regio</t>
        </is>
      </c>
      <c r="L129" s="20" t="inlineStr">
        <is>
          <t>Model</t>
        </is>
      </c>
      <c r="M129" s="20" t="inlineStr">
        <is>
          <t>GO, warmte, zon</t>
        </is>
      </c>
      <c r="N129" s="20" t="inlineStr">
        <is>
          <t>4 Operationeel</t>
        </is>
      </c>
      <c r="O129" s="20" t="inlineStr">
        <is>
          <t>LDT</t>
        </is>
      </c>
      <c r="P129" s="20" t="inlineStr">
        <is>
          <t>EU-LDT</t>
        </is>
      </c>
      <c r="Q129" s="20" t="inlineStr">
        <is>
          <t>BS-CITYGML</t>
        </is>
      </c>
      <c r="R129" s="20" t="inlineStr">
        <is>
          <t>Stad Helsinki</t>
        </is>
      </c>
      <c r="S129" s="20" t="inlineStr">
        <is>
          <t>Geen</t>
        </is>
      </c>
      <c r="T129" s="20" t="inlineStr">
        <is>
          <t>Operationeel; ondersteunt CO2-neutraal 2035 met semantische gebouwmodellen, zon- en warmtedata</t>
        </is>
      </c>
      <c r="U129" s="20" t="inlineStr">
        <is>
          <t>Gemeentelijke energie-atlas op een semantisch 3D-model: voorbeeld voor warmtetransitie in NL-gemeenten</t>
        </is>
      </c>
      <c r="V129" s="20" t="inlineStr">
        <is>
          <t>Een perfecte storm (WE Labs, 2023), p. 18</t>
        </is>
      </c>
      <c r="W129" s="20" t="n">
        <v>60.17</v>
      </c>
      <c r="X129" s="20" t="n">
        <v>24.94</v>
      </c>
      <c r="Y129" s="20" t="inlineStr">
        <is>
          <t>v5</t>
        </is>
      </c>
      <c r="Z129" s="23" t="inlineStr">
        <is>
          <t>nee</t>
        </is>
      </c>
      <c r="AA129" s="20" t="inlineStr">
        <is>
          <t>Twin-instantie</t>
        </is>
      </c>
      <c r="AB129" s="20" t="inlineStr">
        <is>
          <t>Model</t>
        </is>
      </c>
      <c r="AC129" s="20" t="inlineStr">
        <is>
          <t>Gerealiseerd</t>
        </is>
      </c>
      <c r="AD129" s="20" t="inlineStr">
        <is>
          <t>1 Digitaal model</t>
        </is>
      </c>
      <c r="AE129" s="20" t="inlineStr">
        <is>
          <t>Warmte/koude</t>
        </is>
      </c>
      <c r="AF129" s="20" t="inlineStr">
        <is>
          <t>Geen</t>
        </is>
      </c>
      <c r="AG129" s="20" t="inlineStr">
        <is>
          <t>C secundaire bron</t>
        </is>
      </c>
    </row>
    <row r="130" ht="41.75" customHeight="1" s="15">
      <c r="A130" s="20" t="inlineStr">
        <is>
          <t>DT-129</t>
        </is>
      </c>
      <c r="B130" s="20" t="inlineStr">
        <is>
          <t>L</t>
        </is>
      </c>
      <c r="C130" s="20" t="inlineStr">
        <is>
          <t>Initiatief in een EU/EER-lidstaat</t>
        </is>
      </c>
      <c r="D130" s="20" t="inlineStr">
        <is>
          <t>Green Data Hub (Oostenrijk): data spaces incl. digitale klimaattweeling</t>
        </is>
      </c>
      <c r="E130" s="20" t="inlineStr">
        <is>
          <t>Overig</t>
        </is>
      </c>
      <c r="F130" s="20" t="inlineStr">
        <is>
          <t>EU-lidstaat</t>
        </is>
      </c>
      <c r="G130" s="20" t="inlineStr">
        <is>
          <t>AT</t>
        </is>
      </c>
      <c r="H130" s="20" t="inlineStr">
        <is>
          <t>Data-infrastructuur</t>
        </is>
      </c>
      <c r="I130" s="20" t="inlineStr">
        <is>
          <t>Inzicht &amp; monitoring</t>
        </is>
      </c>
      <c r="J130" s="20" t="inlineStr">
        <is>
          <t>Scenario &amp; planning</t>
        </is>
      </c>
      <c r="K130" s="20" t="inlineStr">
        <is>
          <t>Net / nationaal systeem</t>
        </is>
      </c>
      <c r="L130" s="20" t="inlineStr">
        <is>
          <t>n.v.t.</t>
        </is>
      </c>
      <c r="M130" s="20" t="inlineStr">
        <is>
          <t>Energie, mobiliteit, klimaat</t>
        </is>
      </c>
      <c r="N130" s="20" t="inlineStr">
        <is>
          <t>3 Demonstratie/lab</t>
        </is>
      </c>
      <c r="O130" s="20" t="inlineStr">
        <is>
          <t>-</t>
        </is>
      </c>
      <c r="P130" s="20" t="inlineStr">
        <is>
          <t>-</t>
        </is>
      </c>
      <c r="Q130" s="20" t="n"/>
      <c r="R130" s="20" t="inlineStr">
        <is>
          <t>Green Data Hub (AT)</t>
        </is>
      </c>
      <c r="S130" s="20" t="inlineStr">
        <is>
          <t>Geen</t>
        </is>
      </c>
      <c r="T130" s="20" t="inlineStr">
        <is>
          <t>Doorontwikkeld 2023-2026; focus energietransitie, mobiliteit, circulaire economie, digitale klimaattweeling</t>
        </is>
      </c>
      <c r="U130" s="20" t="inlineStr">
        <is>
          <t>Dataspace als fundament onder een klimaattweeling; parallel aan DestinE</t>
        </is>
      </c>
      <c r="V130" s="20" t="inlineStr">
        <is>
          <t>Rapport datagovernance 2026, initiatieven data delen (Green Data Hub): https://www.greendatahub.at/</t>
        </is>
      </c>
      <c r="W130" s="20" t="n">
        <v>48.21</v>
      </c>
      <c r="X130" s="20" t="n">
        <v>16.37</v>
      </c>
      <c r="Y130" s="20" t="inlineStr">
        <is>
          <t>v7</t>
        </is>
      </c>
      <c r="Z130" s="23" t="inlineStr">
        <is>
          <t>nee</t>
        </is>
      </c>
      <c r="AA130" s="20" t="inlineStr">
        <is>
          <t>Stelsel</t>
        </is>
      </c>
      <c r="AB130" s="20" t="inlineStr">
        <is>
          <t>n.v.t.</t>
        </is>
      </c>
      <c r="AC130" s="20" t="inlineStr">
        <is>
          <t>n.v.t.</t>
        </is>
      </c>
      <c r="AD130" s="20" t="inlineStr">
        <is>
          <t>-</t>
        </is>
      </c>
      <c r="AE130" s="20" t="inlineStr">
        <is>
          <t>n.v.t.</t>
        </is>
      </c>
      <c r="AF130" s="20" t="inlineStr">
        <is>
          <t>Geen</t>
        </is>
      </c>
      <c r="AG130" s="20" t="inlineStr">
        <is>
          <t>C secundaire bron</t>
        </is>
      </c>
    </row>
    <row r="131" ht="55.2" customHeight="1" s="15">
      <c r="A131" s="20" t="inlineStr">
        <is>
          <t>DT-130</t>
        </is>
      </c>
      <c r="B131" s="20" t="inlineStr">
        <is>
          <t>I</t>
        </is>
      </c>
      <c r="C131" s="20" t="inlineStr">
        <is>
          <t>Internationaal (buiten de EU)</t>
        </is>
      </c>
      <c r="D131" s="20" t="inlineStr">
        <is>
          <t>NESO Virtual Energy System (VK)</t>
        </is>
      </c>
      <c r="E131" s="20" t="inlineStr">
        <is>
          <t>Energie</t>
        </is>
      </c>
      <c r="F131" s="20" t="inlineStr">
        <is>
          <t>Internationaal</t>
        </is>
      </c>
      <c r="G131" s="20" t="inlineStr">
        <is>
          <t>GB</t>
        </is>
      </c>
      <c r="H131" s="20" t="inlineStr">
        <is>
          <t>Data-infrastructuur</t>
        </is>
      </c>
      <c r="I131" s="20" t="inlineStr">
        <is>
          <t>Inzicht &amp; monitoring</t>
        </is>
      </c>
      <c r="J131" s="20" t="inlineStr">
        <is>
          <t>Scenario &amp; planning, Gezamenlijke besluitvorming</t>
        </is>
      </c>
      <c r="K131" s="20" t="inlineStr">
        <is>
          <t>Net / nationaal systeem</t>
        </is>
      </c>
      <c r="L131" s="20" t="inlineStr">
        <is>
          <t>Tweeling (federatief, beoogd)</t>
        </is>
      </c>
      <c r="M131" s="20" t="inlineStr">
        <is>
          <t>Alle</t>
        </is>
      </c>
      <c r="N131" s="20" t="inlineStr">
        <is>
          <t>2 Pilot/PoC</t>
        </is>
      </c>
      <c r="O131" s="20" t="inlineStr">
        <is>
          <t>Gemini Principles</t>
        </is>
      </c>
      <c r="P131" s="20" t="inlineStr">
        <is>
          <t>GEMINI</t>
        </is>
      </c>
      <c r="Q131" s="20" t="n"/>
      <c r="R131" s="20" t="inlineStr">
        <is>
          <t>NESO; Ofgem en Innovate UK (Strategic Innovation Fund); DESNZ; Common Framework door Arup, Energy Systems Catapult en Icebreaker One</t>
        </is>
      </c>
      <c r="S131" s="20" t="inlineStr">
        <is>
          <t>Geen</t>
        </is>
      </c>
      <c r="T131" s="20" t="inlineStr">
        <is>
          <t>Werkstromen Data Sharing Infrastructure (pilot mei 2025), Common Framework en Advisory Groups; Ofgem stelde een interim DSI-coördinator aan</t>
        </is>
      </c>
      <c r="U131" s="20" t="inlineStr">
        <is>
          <t>Het meest uitgewerkte nationale federatiemodel voor energie-twins: eerst open raamwerk en datadeelinfrastructuur, dan twins. Direct relevant voor ADE 1.1.3 en Het Normo</t>
        </is>
      </c>
      <c r="V131" s="20" t="inlineStr">
        <is>
          <t>https://neso.energy/future-energy/virtual-energy-system</t>
        </is>
      </c>
      <c r="W131" s="20" t="n">
        <v>51.51</v>
      </c>
      <c r="X131" s="20" t="n">
        <v>-0.13</v>
      </c>
      <c r="Y131" s="20" t="inlineStr">
        <is>
          <t>v5</t>
        </is>
      </c>
      <c r="Z131" s="23" t="inlineStr">
        <is>
          <t>nee</t>
        </is>
      </c>
      <c r="AA131" s="20" t="inlineStr">
        <is>
          <t>Stelsel</t>
        </is>
      </c>
      <c r="AB131" s="20" t="inlineStr">
        <is>
          <t>Tweeling</t>
        </is>
      </c>
      <c r="AC131" s="20" t="inlineStr">
        <is>
          <t>Beoogd</t>
        </is>
      </c>
      <c r="AD131" s="20" t="inlineStr">
        <is>
          <t>6 Federatieve tweeling (beoogd)</t>
        </is>
      </c>
      <c r="AE131" s="20" t="inlineStr">
        <is>
          <t>Elektriciteit; Gas; Waterstof; Warmte/koude (multi-commodity)</t>
        </is>
      </c>
      <c r="AF131" s="20" t="inlineStr">
        <is>
          <t>Geen</t>
        </is>
      </c>
      <c r="AG131" s="20" t="inlineStr">
        <is>
          <t>B primaire bron</t>
        </is>
      </c>
    </row>
    <row r="132" ht="41.75" customHeight="1" s="15">
      <c r="A132" s="20" t="inlineStr">
        <is>
          <t>DT-131</t>
        </is>
      </c>
      <c r="B132" s="20" t="inlineStr">
        <is>
          <t>I</t>
        </is>
      </c>
      <c r="C132" s="20" t="inlineStr">
        <is>
          <t>Internationaal (buiten de EU)</t>
        </is>
      </c>
      <c r="D132" s="20" t="inlineStr">
        <is>
          <t>NDTP-energiedemonstrator Isle of Wight (VK)</t>
        </is>
      </c>
      <c r="E132" s="20" t="inlineStr">
        <is>
          <t>Energie</t>
        </is>
      </c>
      <c r="F132" s="20" t="inlineStr">
        <is>
          <t>Internationaal</t>
        </is>
      </c>
      <c r="G132" s="20" t="inlineStr">
        <is>
          <t>GB</t>
        </is>
      </c>
      <c r="H132" s="20" t="inlineStr">
        <is>
          <t>Twin-instantie</t>
        </is>
      </c>
      <c r="I132" s="20" t="inlineStr">
        <is>
          <t>Scenario &amp; planning</t>
        </is>
      </c>
      <c r="J132" s="20" t="inlineStr">
        <is>
          <t>Sturing &amp; optimalisatie</t>
        </is>
      </c>
      <c r="K132" s="20" t="inlineStr">
        <is>
          <t>Gemeente / regio</t>
        </is>
      </c>
      <c r="L132" s="20" t="inlineStr">
        <is>
          <t>Model/schaduw</t>
        </is>
      </c>
      <c r="M132" s="20" t="inlineStr">
        <is>
          <t>Elektriciteit, warmte, mobiliteit</t>
        </is>
      </c>
      <c r="N132" s="20" t="inlineStr">
        <is>
          <t>1 Verkenning</t>
        </is>
      </c>
      <c r="O132" s="20" t="inlineStr">
        <is>
          <t>Gemini Principles; UK NDTP</t>
        </is>
      </c>
      <c r="P132" s="20" t="inlineStr">
        <is>
          <t>GEMINI</t>
        </is>
      </c>
      <c r="Q132" s="20" t="n"/>
      <c r="R132" s="20" t="inlineStr">
        <is>
          <t>UK NDTP; Isle of Wight Council, Scottish and Southern Electricity Networks, Isle of Wight Energy Hub</t>
        </is>
      </c>
      <c r="S132" s="20" t="inlineStr">
        <is>
          <t>Geen</t>
        </is>
      </c>
      <c r="T132" s="20" t="inlineStr">
        <is>
          <t>Behoeften en MVP in voorbereiding; net van 132 kV tot 400 V; netto-nul 2040</t>
        </is>
      </c>
      <c r="U132" s="20" t="inlineStr">
        <is>
          <t>Regionale energietwin als beleidsinstrument, vergelijkbaar met ORTESE; hergebruikt NDTP-playbooks</t>
        </is>
      </c>
      <c r="V132" s="20" t="inlineStr">
        <is>
          <t>https://www.gov.uk/government/case-studies/energy-system-national-digital-twin-programme-ndtp</t>
        </is>
      </c>
      <c r="W132" s="20" t="n">
        <v>50.69</v>
      </c>
      <c r="X132" s="20" t="n">
        <v>-1.3</v>
      </c>
      <c r="Y132" s="20" t="inlineStr">
        <is>
          <t>v5</t>
        </is>
      </c>
      <c r="Z132" s="23" t="inlineStr">
        <is>
          <t>nee</t>
        </is>
      </c>
      <c r="AA132" s="20" t="inlineStr">
        <is>
          <t>Twin-instantie</t>
        </is>
      </c>
      <c r="AB132" s="20" t="inlineStr">
        <is>
          <t>Model of schaduw (onzeker)</t>
        </is>
      </c>
      <c r="AC132" s="20" t="inlineStr">
        <is>
          <t>Gerealiseerd</t>
        </is>
      </c>
      <c r="AD132" s="20" t="inlineStr">
        <is>
          <t>4 Scenario-tweeling</t>
        </is>
      </c>
      <c r="AE132" s="20" t="inlineStr">
        <is>
          <t>Elektriciteit; Warmte/koude (multi-commodity)</t>
        </is>
      </c>
      <c r="AF132" s="20" t="inlineStr">
        <is>
          <t>Geen</t>
        </is>
      </c>
      <c r="AG132" s="20" t="inlineStr">
        <is>
          <t>B primaire bron</t>
        </is>
      </c>
    </row>
    <row r="133" ht="41.75" customHeight="1" s="15">
      <c r="A133" s="20" t="inlineStr">
        <is>
          <t>DT-132</t>
        </is>
      </c>
      <c r="B133" s="20" t="inlineStr">
        <is>
          <t>I</t>
        </is>
      </c>
      <c r="C133" s="20" t="inlineStr">
        <is>
          <t>Internationaal (buiten de EU)</t>
        </is>
      </c>
      <c r="D133" s="20" t="inlineStr">
        <is>
          <t>CReDo: Climate Resilience Demonstrator (VK)</t>
        </is>
      </c>
      <c r="E133" s="20" t="inlineStr">
        <is>
          <t>Overig</t>
        </is>
      </c>
      <c r="F133" s="20" t="inlineStr">
        <is>
          <t>Internationaal</t>
        </is>
      </c>
      <c r="G133" s="20" t="inlineStr">
        <is>
          <t>GB</t>
        </is>
      </c>
      <c r="H133" s="20" t="inlineStr">
        <is>
          <t>Twin-instantie</t>
        </is>
      </c>
      <c r="I133" s="20" t="inlineStr">
        <is>
          <t>Voorspellen</t>
        </is>
      </c>
      <c r="J133" s="20" t="inlineStr">
        <is>
          <t>Gezamenlijke besluitvorming</t>
        </is>
      </c>
      <c r="K133" s="20" t="inlineStr">
        <is>
          <t>Gemeente / regio</t>
        </is>
      </c>
      <c r="L133" s="20" t="inlineStr">
        <is>
          <t>Model</t>
        </is>
      </c>
      <c r="M133" s="20" t="inlineStr">
        <is>
          <t>Elektriciteit, water, telecom</t>
        </is>
      </c>
      <c r="N133" s="20" t="inlineStr">
        <is>
          <t>3 Demonstratie/lab</t>
        </is>
      </c>
      <c r="O133" s="20" t="inlineStr">
        <is>
          <t>Gemini Principles</t>
        </is>
      </c>
      <c r="P133" s="20" t="inlineStr">
        <is>
          <t>GEMINI</t>
        </is>
      </c>
      <c r="Q133" s="20" t="n"/>
      <c r="R133" s="20" t="inlineStr">
        <is>
          <t>Netbeheerders energie, water en telecom (VK); voortgekomen uit het CDBB/NDTP-netwerk</t>
        </is>
      </c>
      <c r="S133" s="20" t="inlineStr">
        <is>
          <t>Geen</t>
        </is>
      </c>
      <c r="T133" s="20" t="inlineStr">
        <is>
          <t>Demonstrator voor sectoroverstijgende data-uitwisseling bij overstromingen</t>
        </is>
      </c>
      <c r="U133" s="20" t="inlineStr">
        <is>
          <t>Laat zien hoe cross-sector data delen (energie-water-telecom) weerbaarheid ondersteunt; les voor NPE-thema weerbaarheid</t>
        </is>
      </c>
      <c r="V133" s="20" t="inlineStr">
        <is>
          <t>Een perfecte storm (WE Labs, 2023), p. 20</t>
        </is>
      </c>
      <c r="W133" s="20" t="n">
        <v>51.51</v>
      </c>
      <c r="X133" s="20" t="n">
        <v>-0.13</v>
      </c>
      <c r="Y133" s="20" t="inlineStr">
        <is>
          <t>v5</t>
        </is>
      </c>
      <c r="Z133" s="23" t="inlineStr">
        <is>
          <t>nee</t>
        </is>
      </c>
      <c r="AA133" s="20" t="inlineStr">
        <is>
          <t>Twin-instantie</t>
        </is>
      </c>
      <c r="AB133" s="20" t="inlineStr">
        <is>
          <t>Model</t>
        </is>
      </c>
      <c r="AC133" s="20" t="inlineStr">
        <is>
          <t>Gerealiseerd</t>
        </is>
      </c>
      <c r="AD133" s="20" t="inlineStr">
        <is>
          <t>1 Digitaal model</t>
        </is>
      </c>
      <c r="AE133" s="20" t="inlineStr">
        <is>
          <t>Elektriciteit</t>
        </is>
      </c>
      <c r="AF133" s="20" t="inlineStr">
        <is>
          <t>Geen</t>
        </is>
      </c>
      <c r="AG133" s="20" t="inlineStr">
        <is>
          <t>C secundaire bron</t>
        </is>
      </c>
    </row>
    <row r="134" ht="55.2" customHeight="1" s="15">
      <c r="A134" s="20" t="inlineStr">
        <is>
          <t>DT-133</t>
        </is>
      </c>
      <c r="B134" s="20" t="inlineStr">
        <is>
          <t>I</t>
        </is>
      </c>
      <c r="C134" s="20" t="inlineStr">
        <is>
          <t>Internationaal (buiten de EU)</t>
        </is>
      </c>
      <c r="D134" s="20" t="inlineStr">
        <is>
          <t>NREL ARIES: Advanced Research on Integrated Energy Systems (VS)</t>
        </is>
      </c>
      <c r="E134" s="20" t="inlineStr">
        <is>
          <t>Energie</t>
        </is>
      </c>
      <c r="F134" s="20" t="inlineStr">
        <is>
          <t>Internationaal</t>
        </is>
      </c>
      <c r="G134" s="20" t="inlineStr">
        <is>
          <t>US</t>
        </is>
      </c>
      <c r="H134" s="20" t="inlineStr">
        <is>
          <t>Faciliteit/R&amp;D</t>
        </is>
      </c>
      <c r="I134" s="20" t="inlineStr">
        <is>
          <t>Onderzoek &amp; training</t>
        </is>
      </c>
      <c r="J134" s="20" t="inlineStr">
        <is>
          <t>Scenario &amp; planning</t>
        </is>
      </c>
      <c r="K134" s="20" t="inlineStr">
        <is>
          <t>Net / nationaal systeem</t>
        </is>
      </c>
      <c r="L134" s="20" t="inlineStr">
        <is>
          <t>Tweeling (lab)</t>
        </is>
      </c>
      <c r="M134" s="20" t="inlineStr">
        <is>
          <t>Multi-commodity</t>
        </is>
      </c>
      <c r="N134" s="20" t="inlineStr">
        <is>
          <t>4 Operationeel</t>
        </is>
      </c>
      <c r="O134" s="20" t="inlineStr">
        <is>
          <t>-</t>
        </is>
      </c>
      <c r="P134" s="20" t="inlineStr">
        <is>
          <t>-</t>
        </is>
      </c>
      <c r="Q134" s="20" t="n"/>
      <c r="R134" s="20" t="inlineStr">
        <is>
          <t>NREL voor US Department of Energy; partners o.a. Portland General Electric, Florida Power &amp; Light, Shell</t>
        </is>
      </c>
      <c r="S134" s="20" t="inlineStr">
        <is>
          <t>Geen</t>
        </is>
      </c>
      <c r="T134" s="20" t="inlineStr">
        <is>
          <t>Operationeel; Virtual Emulation Environment voor miljoenen apparaten; 24 real-time simulatieclusters; uitbreiding met PV, wind en H2-opslag</t>
        </is>
      </c>
      <c r="U134" s="20" t="inlineStr">
        <is>
          <t>Referentie voor schaal en opzet van de Nationale Faciliteit (emulatie + hardware-in-the-loop)</t>
        </is>
      </c>
      <c r="V134" s="20" t="inlineStr">
        <is>
          <t>https://nrel.gov/aries/annual-report-2024</t>
        </is>
      </c>
      <c r="W134" s="20" t="n">
        <v>39.74</v>
      </c>
      <c r="X134" s="20" t="n">
        <v>-105.18</v>
      </c>
      <c r="Y134" s="20" t="inlineStr">
        <is>
          <t>v5</t>
        </is>
      </c>
      <c r="Z134" s="23" t="inlineStr">
        <is>
          <t>nee</t>
        </is>
      </c>
      <c r="AA134" s="20" t="inlineStr">
        <is>
          <t>Twin-instantie</t>
        </is>
      </c>
      <c r="AB134" s="20" t="inlineStr">
        <is>
          <t>Tweeling</t>
        </is>
      </c>
      <c r="AC134" s="20" t="inlineStr">
        <is>
          <t>Lab</t>
        </is>
      </c>
      <c r="AD134" s="20" t="inlineStr">
        <is>
          <t>5 Sturende tweeling (lab)</t>
        </is>
      </c>
      <c r="AE134" s="20" t="inlineStr">
        <is>
          <t>Multi-commodity (dragers niet gespecificeerd)</t>
        </is>
      </c>
      <c r="AF134" s="20" t="inlineStr">
        <is>
          <t>Geen</t>
        </is>
      </c>
      <c r="AG134" s="20" t="inlineStr">
        <is>
          <t>B primaire bron</t>
        </is>
      </c>
    </row>
    <row r="135" ht="41.75" customHeight="1" s="15">
      <c r="A135" s="20" t="inlineStr">
        <is>
          <t>DT-134</t>
        </is>
      </c>
      <c r="B135" s="20" t="inlineStr">
        <is>
          <t>I</t>
        </is>
      </c>
      <c r="C135" s="20" t="inlineStr">
        <is>
          <t>Internationaal (buiten de EU)</t>
        </is>
      </c>
      <c r="D135" s="20" t="inlineStr">
        <is>
          <t>Tampa Electric x University of South Florida: real-time netwerktwin (VS)</t>
        </is>
      </c>
      <c r="E135" s="20" t="inlineStr">
        <is>
          <t>Energie</t>
        </is>
      </c>
      <c r="F135" s="20" t="inlineStr">
        <is>
          <t>Internationaal</t>
        </is>
      </c>
      <c r="G135" s="20" t="inlineStr">
        <is>
          <t>US</t>
        </is>
      </c>
      <c r="H135" s="20" t="inlineStr">
        <is>
          <t>Twin-instantie</t>
        </is>
      </c>
      <c r="I135" s="20" t="inlineStr">
        <is>
          <t>Inzicht &amp; monitoring</t>
        </is>
      </c>
      <c r="J135" s="20" t="inlineStr">
        <is>
          <t>Sturing &amp; optimalisatie</t>
        </is>
      </c>
      <c r="K135" s="20" t="inlineStr">
        <is>
          <t>Net / nationaal systeem</t>
        </is>
      </c>
      <c r="L135" s="20" t="inlineStr">
        <is>
          <t>Schaduw</t>
        </is>
      </c>
      <c r="M135" s="20" t="inlineStr">
        <is>
          <t>Elektriciteit</t>
        </is>
      </c>
      <c r="N135" s="20" t="inlineStr">
        <is>
          <t>2 Pilot/PoC</t>
        </is>
      </c>
      <c r="O135" s="20" t="inlineStr">
        <is>
          <t>-</t>
        </is>
      </c>
      <c r="P135" s="20" t="inlineStr">
        <is>
          <t>-</t>
        </is>
      </c>
      <c r="Q135" s="20" t="n"/>
      <c r="R135" s="20" t="inlineStr">
        <is>
          <t>USF Smart Grid Power Systems Lab, Tampa Electric (TECO); DOE-subsidie $3,8 mln</t>
        </is>
      </c>
      <c r="S135" s="20" t="inlineStr">
        <is>
          <t>Geen</t>
        </is>
      </c>
      <c r="T135" s="20" t="inlineStr">
        <is>
          <t>Veldschaaldemonstratie eind 2026; daarna inzet in TECO-controlekamer</t>
        </is>
      </c>
      <c r="U135" s="20" t="inlineStr">
        <is>
          <t>Twin voor oscillatiedetectie met real-time metingen; van lab naar controlekamer</t>
        </is>
      </c>
      <c r="V135" s="20" t="inlineStr">
        <is>
          <t>https://www.usf.edu/news/2026/usf-led-project-with-tampa-electric-helps-advance-next-generation-power-grid-intelligence.aspx</t>
        </is>
      </c>
      <c r="W135" s="20" t="n">
        <v>27.95</v>
      </c>
      <c r="X135" s="20" t="n">
        <v>-82.45999999999999</v>
      </c>
      <c r="Y135" s="20" t="inlineStr">
        <is>
          <t>v5</t>
        </is>
      </c>
      <c r="Z135" s="23" t="inlineStr">
        <is>
          <t>nee</t>
        </is>
      </c>
      <c r="AA135" s="20" t="inlineStr">
        <is>
          <t>Twin-instantie</t>
        </is>
      </c>
      <c r="AB135" s="20" t="inlineStr">
        <is>
          <t>Schaduw</t>
        </is>
      </c>
      <c r="AC135" s="20" t="inlineStr">
        <is>
          <t>Gerealiseerd</t>
        </is>
      </c>
      <c r="AD135" s="20" t="inlineStr">
        <is>
          <t>2 Digitale schaduw</t>
        </is>
      </c>
      <c r="AE135" s="20" t="inlineStr">
        <is>
          <t>Elektriciteit</t>
        </is>
      </c>
      <c r="AF135" s="20" t="inlineStr">
        <is>
          <t>Geen</t>
        </is>
      </c>
      <c r="AG135" s="20" t="inlineStr">
        <is>
          <t>B primaire bron</t>
        </is>
      </c>
    </row>
    <row r="136" ht="41.75" customHeight="1" s="15">
      <c r="A136" s="20" t="inlineStr">
        <is>
          <t>DT-135</t>
        </is>
      </c>
      <c r="B136" s="20" t="inlineStr">
        <is>
          <t>I</t>
        </is>
      </c>
      <c r="C136" s="20" t="inlineStr">
        <is>
          <t>Internationaal (buiten de EU)</t>
        </is>
      </c>
      <c r="D136" s="20" t="inlineStr">
        <is>
          <t>Southern Company: cognitive digital twin voor cyberweerbaarheid (VS)</t>
        </is>
      </c>
      <c r="E136" s="20" t="inlineStr">
        <is>
          <t>Energie</t>
        </is>
      </c>
      <c r="F136" s="20" t="inlineStr">
        <is>
          <t>Internationaal</t>
        </is>
      </c>
      <c r="G136" s="20" t="inlineStr">
        <is>
          <t>US</t>
        </is>
      </c>
      <c r="H136" s="20" t="inlineStr">
        <is>
          <t>Faciliteit/R&amp;D</t>
        </is>
      </c>
      <c r="I136" s="20" t="inlineStr">
        <is>
          <t>Onderzoek &amp; training</t>
        </is>
      </c>
      <c r="J136" s="20" t="inlineStr">
        <is>
          <t>Sturing &amp; optimalisatie</t>
        </is>
      </c>
      <c r="K136" s="20" t="inlineStr">
        <is>
          <t>Net / nationaal systeem</t>
        </is>
      </c>
      <c r="L136" s="20" t="inlineStr">
        <is>
          <t>Tweeling (lab)</t>
        </is>
      </c>
      <c r="M136" s="20" t="inlineStr">
        <is>
          <t>Elektriciteit</t>
        </is>
      </c>
      <c r="N136" s="20" t="inlineStr">
        <is>
          <t>2 Pilot/PoC</t>
        </is>
      </c>
      <c r="O136" s="20" t="inlineStr">
        <is>
          <t>-</t>
        </is>
      </c>
      <c r="P136" s="20" t="inlineStr">
        <is>
          <t>-</t>
        </is>
      </c>
      <c r="Q136" s="20" t="n"/>
      <c r="R136" s="20" t="inlineStr">
        <is>
          <t>Southern Company Services; Virginia Tech, GE Research, OPAL-RT; DOE Office of Electricity ($2,4 mln)</t>
        </is>
      </c>
      <c r="S136" s="20" t="inlineStr">
        <is>
          <t>Geen</t>
        </is>
      </c>
      <c r="T136" s="20" t="inlineStr">
        <is>
          <t>Geselecteerd door DOE; onderhandelingen over toekenning</t>
        </is>
      </c>
      <c r="U136" s="20" t="inlineStr">
        <is>
          <t>Cyberweerbaarheid als expliciete twin-use case; relevant voor ADE en Control Room of the Future</t>
        </is>
      </c>
      <c r="V136" s="20" t="inlineStr">
        <is>
          <t>https://www.enlit.world/library/southern-company-services-to-lead-digital-twin-for-cyber-resilience-project</t>
        </is>
      </c>
      <c r="W136" s="20" t="n">
        <v>33.52</v>
      </c>
      <c r="X136" s="20" t="n">
        <v>-86.8</v>
      </c>
      <c r="Y136" s="20" t="inlineStr">
        <is>
          <t>v5</t>
        </is>
      </c>
      <c r="Z136" s="23" t="inlineStr">
        <is>
          <t>nee</t>
        </is>
      </c>
      <c r="AA136" s="20" t="inlineStr">
        <is>
          <t>Twin-instantie</t>
        </is>
      </c>
      <c r="AB136" s="20" t="inlineStr">
        <is>
          <t>Tweeling</t>
        </is>
      </c>
      <c r="AC136" s="20" t="inlineStr">
        <is>
          <t>Lab</t>
        </is>
      </c>
      <c r="AD136" s="20" t="inlineStr">
        <is>
          <t>5 Sturende tweeling (lab)</t>
        </is>
      </c>
      <c r="AE136" s="20" t="inlineStr">
        <is>
          <t>Elektriciteit</t>
        </is>
      </c>
      <c r="AF136" s="20" t="inlineStr">
        <is>
          <t>Geen</t>
        </is>
      </c>
      <c r="AG136" s="20" t="inlineStr">
        <is>
          <t>C secundaire bron</t>
        </is>
      </c>
    </row>
    <row r="137" ht="55.2" customHeight="1" s="15">
      <c r="A137" s="20" t="inlineStr">
        <is>
          <t>DT-136</t>
        </is>
      </c>
      <c r="B137" s="20" t="inlineStr">
        <is>
          <t>I</t>
        </is>
      </c>
      <c r="C137" s="20" t="inlineStr">
        <is>
          <t>Internationaal (buiten de EU)</t>
        </is>
      </c>
      <c r="D137" s="20" t="inlineStr">
        <is>
          <t>New Mexico: smart infrastructure en carbon-neutral energy platform (VS)</t>
        </is>
      </c>
      <c r="E137" s="20" t="inlineStr">
        <is>
          <t>Energie</t>
        </is>
      </c>
      <c r="F137" s="20" t="inlineStr">
        <is>
          <t>Internationaal</t>
        </is>
      </c>
      <c r="G137" s="20" t="inlineStr">
        <is>
          <t>US</t>
        </is>
      </c>
      <c r="H137" s="20" t="inlineStr">
        <is>
          <t>Kader</t>
        </is>
      </c>
      <c r="I137" s="20" t="inlineStr">
        <is>
          <t>Scenario &amp; planning</t>
        </is>
      </c>
      <c r="J137" s="20" t="inlineStr">
        <is>
          <t>Gezamenlijke besluitvorming</t>
        </is>
      </c>
      <c r="K137" s="20" t="inlineStr">
        <is>
          <t>Gemeente / regio</t>
        </is>
      </c>
      <c r="L137" s="20" t="inlineStr">
        <is>
          <t>n.v.t.</t>
        </is>
      </c>
      <c r="M137" s="20" t="inlineStr">
        <is>
          <t>Alle</t>
        </is>
      </c>
      <c r="N137" s="20" t="inlineStr">
        <is>
          <t>1 Verkenning</t>
        </is>
      </c>
      <c r="O137" s="20" t="inlineStr">
        <is>
          <t>-</t>
        </is>
      </c>
      <c r="P137" s="20" t="inlineStr">
        <is>
          <t>-</t>
        </is>
      </c>
      <c r="Q137" s="20" t="n"/>
      <c r="R137" s="20" t="inlineStr">
        <is>
          <t>Staat New Mexico en partners (Energy Transition Act 2019)</t>
        </is>
      </c>
      <c r="S137" s="20" t="inlineStr">
        <is>
          <t>Geen</t>
        </is>
      </c>
      <c r="T137" s="20" t="inlineStr">
        <is>
          <t>Volgens WE Labs (2023) een tienjarig project van $20 mld; actuele status te verifiëren</t>
        </is>
      </c>
      <c r="U137" s="20" t="inlineStr">
        <is>
          <t>Voorbeeld van een staatsbrede twin als investeringskader; cijfers zijn verwachtingen, niet resultaten</t>
        </is>
      </c>
      <c r="V137" s="20" t="inlineStr">
        <is>
          <t>Een perfecte storm (WE Labs, 2023), p. 21</t>
        </is>
      </c>
      <c r="W137" s="20" t="n">
        <v>35.69</v>
      </c>
      <c r="X137" s="20" t="n">
        <v>-105.94</v>
      </c>
      <c r="Y137" s="20" t="inlineStr">
        <is>
          <t>v5</t>
        </is>
      </c>
      <c r="Z137" s="23" t="inlineStr">
        <is>
          <t>nee</t>
        </is>
      </c>
      <c r="AA137" s="20" t="inlineStr">
        <is>
          <t>Ecosysteem</t>
        </is>
      </c>
      <c r="AB137" s="20" t="inlineStr">
        <is>
          <t>n.v.t.</t>
        </is>
      </c>
      <c r="AC137" s="20" t="inlineStr">
        <is>
          <t>n.v.t.</t>
        </is>
      </c>
      <c r="AD137" s="20" t="inlineStr">
        <is>
          <t>-</t>
        </is>
      </c>
      <c r="AE137" s="20" t="inlineStr">
        <is>
          <t>Elektriciteit; Gas; Waterstof; Warmte/koude (multi-commodity)</t>
        </is>
      </c>
      <c r="AF137" s="20" t="inlineStr">
        <is>
          <t>Geen</t>
        </is>
      </c>
      <c r="AG137" s="20" t="inlineStr">
        <is>
          <t>D aanname</t>
        </is>
      </c>
    </row>
    <row r="138" ht="41.75" customHeight="1" s="15">
      <c r="A138" s="20" t="inlineStr">
        <is>
          <t>DT-137</t>
        </is>
      </c>
      <c r="B138" s="20" t="inlineStr">
        <is>
          <t>I</t>
        </is>
      </c>
      <c r="C138" s="20" t="inlineStr">
        <is>
          <t>Internationaal (buiten de EU)</t>
        </is>
      </c>
      <c r="D138" s="20" t="inlineStr">
        <is>
          <t>Digital Twin Victoria (Australië)</t>
        </is>
      </c>
      <c r="E138" s="20" t="inlineStr">
        <is>
          <t>Energie + GO</t>
        </is>
      </c>
      <c r="F138" s="20" t="inlineStr">
        <is>
          <t>Internationaal</t>
        </is>
      </c>
      <c r="G138" s="20" t="inlineStr">
        <is>
          <t>AU</t>
        </is>
      </c>
      <c r="H138" s="20" t="inlineStr">
        <is>
          <t>Data-infrastructuur</t>
        </is>
      </c>
      <c r="I138" s="20" t="inlineStr">
        <is>
          <t>Inzicht &amp; monitoring</t>
        </is>
      </c>
      <c r="J138" s="20" t="inlineStr">
        <is>
          <t>Scenario &amp; planning</t>
        </is>
      </c>
      <c r="K138" s="20" t="inlineStr">
        <is>
          <t>Gemeente / regio</t>
        </is>
      </c>
      <c r="L138" s="20" t="inlineStr">
        <is>
          <t>Model/schaduw</t>
        </is>
      </c>
      <c r="M138" s="20" t="inlineStr">
        <is>
          <t>GO, hernieuwbare capaciteit</t>
        </is>
      </c>
      <c r="N138" s="20" t="inlineStr">
        <is>
          <t>4 Operationeel</t>
        </is>
      </c>
      <c r="O138" s="20" t="inlineStr">
        <is>
          <t>-</t>
        </is>
      </c>
      <c r="P138" s="20" t="inlineStr">
        <is>
          <t>-</t>
        </is>
      </c>
      <c r="Q138" s="20" t="inlineStr">
        <is>
          <t>BS-TERRIA</t>
        </is>
      </c>
      <c r="R138" s="20" t="inlineStr">
        <is>
          <t>Staat Victoria; CSIRO/Data61 (TerriaJS)</t>
        </is>
      </c>
      <c r="S138" s="20" t="inlineStr">
        <is>
          <t>Geen</t>
        </is>
      </c>
      <c r="T138" s="20" t="inlineStr">
        <is>
          <t>Aangekondigd 2021 (ca. A$35 mln); statewijd 3D/4D-model incl. nutsvoorzieningen en realtime capaciteit hernieuwbare energie</t>
        </is>
      </c>
      <c r="U138" s="20" t="inlineStr">
        <is>
          <t>Statewijde twin als publieke voorziening op open platform (TerriaJS): vergelijkbaar met NLDT</t>
        </is>
      </c>
      <c r="V138" s="20" t="inlineStr">
        <is>
          <t>https://opengovasia.com/?p=85556</t>
        </is>
      </c>
      <c r="W138" s="20" t="n">
        <v>-37.81</v>
      </c>
      <c r="X138" s="20" t="n">
        <v>144.96</v>
      </c>
      <c r="Y138" s="20" t="inlineStr">
        <is>
          <t>v5</t>
        </is>
      </c>
      <c r="Z138" s="23" t="inlineStr">
        <is>
          <t>nee</t>
        </is>
      </c>
      <c r="AA138" s="20" t="inlineStr">
        <is>
          <t>Stelsel</t>
        </is>
      </c>
      <c r="AB138" s="20" t="inlineStr">
        <is>
          <t>Model of schaduw (onzeker)</t>
        </is>
      </c>
      <c r="AC138" s="20" t="inlineStr">
        <is>
          <t>Gerealiseerd</t>
        </is>
      </c>
      <c r="AD138" s="20" t="inlineStr">
        <is>
          <t>2 Digitale schaduw</t>
        </is>
      </c>
      <c r="AE138" s="20" t="inlineStr">
        <is>
          <t>n.v.t.</t>
        </is>
      </c>
      <c r="AF138" s="20" t="inlineStr">
        <is>
          <t>Geen</t>
        </is>
      </c>
      <c r="AG138" s="20" t="inlineStr">
        <is>
          <t>C secundaire bron</t>
        </is>
      </c>
    </row>
    <row r="139" ht="41.75" customHeight="1" s="15">
      <c r="A139" s="20" t="inlineStr">
        <is>
          <t>DT-138</t>
        </is>
      </c>
      <c r="B139" s="20" t="inlineStr">
        <is>
          <t>I</t>
        </is>
      </c>
      <c r="C139" s="20" t="inlineStr">
        <is>
          <t>Internationaal (buiten de EU)</t>
        </is>
      </c>
      <c r="D139" s="20" t="inlineStr">
        <is>
          <t>NSW Spatial Digital Twin (Australië)</t>
        </is>
      </c>
      <c r="E139" s="20" t="inlineStr">
        <is>
          <t>GO</t>
        </is>
      </c>
      <c r="F139" s="20" t="inlineStr">
        <is>
          <t>Internationaal</t>
        </is>
      </c>
      <c r="G139" s="20" t="inlineStr">
        <is>
          <t>AU</t>
        </is>
      </c>
      <c r="H139" s="20" t="inlineStr">
        <is>
          <t>Data-infrastructuur</t>
        </is>
      </c>
      <c r="I139" s="20" t="inlineStr">
        <is>
          <t>Inzicht &amp; monitoring</t>
        </is>
      </c>
      <c r="J139" s="20" t="inlineStr">
        <is>
          <t>Gezamenlijke besluitvorming</t>
        </is>
      </c>
      <c r="K139" s="20" t="inlineStr">
        <is>
          <t>Gemeente / regio</t>
        </is>
      </c>
      <c r="L139" s="20" t="inlineStr">
        <is>
          <t>Model</t>
        </is>
      </c>
      <c r="M139" s="20" t="inlineStr">
        <is>
          <t>GO, nutsvoorzieningen</t>
        </is>
      </c>
      <c r="N139" s="20" t="inlineStr">
        <is>
          <t>4 Operationeel</t>
        </is>
      </c>
      <c r="O139" s="20" t="inlineStr">
        <is>
          <t>-</t>
        </is>
      </c>
      <c r="P139" s="20" t="inlineStr">
        <is>
          <t>-</t>
        </is>
      </c>
      <c r="Q139" s="20" t="inlineStr">
        <is>
          <t>BS-TERRIA</t>
        </is>
      </c>
      <c r="R139" s="20" t="inlineStr">
        <is>
          <t>NSW Spatial Services (Department of Customer Service), CSIRO/Data61</t>
        </is>
      </c>
      <c r="S139" s="20" t="inlineStr">
        <is>
          <t>Geen</t>
        </is>
      </c>
      <c r="T139" s="20" t="inlineStr">
        <is>
          <t>Sinds feb. 2020; 4D-model van gebouwen, nutsvoorzieningen, terrein en percelen</t>
        </is>
      </c>
      <c r="U139" s="20" t="inlineStr">
        <is>
          <t>Ondergrondse en bovengrondse infrastructuur in één model; inzet bij bosbranden voor kritieke infrastructuur</t>
        </is>
      </c>
      <c r="V139" s="20" t="inlineStr">
        <is>
          <t>https://opengovasia.com/?p=85556</t>
        </is>
      </c>
      <c r="W139" s="20" t="n">
        <v>-33.87</v>
      </c>
      <c r="X139" s="20" t="n">
        <v>151.21</v>
      </c>
      <c r="Y139" s="20" t="inlineStr">
        <is>
          <t>v5</t>
        </is>
      </c>
      <c r="Z139" s="23" t="inlineStr">
        <is>
          <t>nee</t>
        </is>
      </c>
      <c r="AA139" s="20" t="inlineStr">
        <is>
          <t>Stelsel</t>
        </is>
      </c>
      <c r="AB139" s="20" t="inlineStr">
        <is>
          <t>Model</t>
        </is>
      </c>
      <c r="AC139" s="20" t="inlineStr">
        <is>
          <t>Gerealiseerd</t>
        </is>
      </c>
      <c r="AD139" s="20" t="inlineStr">
        <is>
          <t>1 Digitaal model</t>
        </is>
      </c>
      <c r="AE139" s="20" t="inlineStr">
        <is>
          <t>n.v.t.</t>
        </is>
      </c>
      <c r="AF139" s="20" t="inlineStr">
        <is>
          <t>Geen</t>
        </is>
      </c>
      <c r="AG139" s="20" t="inlineStr">
        <is>
          <t>C secundaire bron</t>
        </is>
      </c>
    </row>
    <row r="140" ht="28.35" customHeight="1" s="15">
      <c r="A140" s="20" t="inlineStr">
        <is>
          <t>DT-139</t>
        </is>
      </c>
      <c r="B140" s="20" t="inlineStr">
        <is>
          <t>I</t>
        </is>
      </c>
      <c r="C140" s="20" t="inlineStr">
        <is>
          <t>Internationaal (buiten de EU)</t>
        </is>
      </c>
      <c r="D140" s="20" t="inlineStr">
        <is>
          <t>Ausgrid x Neara: netwerktwin (Australië)</t>
        </is>
      </c>
      <c r="E140" s="20" t="inlineStr">
        <is>
          <t>Energie</t>
        </is>
      </c>
      <c r="F140" s="20" t="inlineStr">
        <is>
          <t>Internationaal</t>
        </is>
      </c>
      <c r="G140" s="20" t="inlineStr">
        <is>
          <t>AU</t>
        </is>
      </c>
      <c r="H140" s="20" t="inlineStr">
        <is>
          <t>Twin-instantie</t>
        </is>
      </c>
      <c r="I140" s="20" t="inlineStr">
        <is>
          <t>Ontwerp &amp; engineering</t>
        </is>
      </c>
      <c r="J140" s="20" t="inlineStr">
        <is>
          <t>Inzicht &amp; monitoring</t>
        </is>
      </c>
      <c r="K140" s="20" t="inlineStr">
        <is>
          <t>Net / nationaal systeem</t>
        </is>
      </c>
      <c r="L140" s="20" t="inlineStr">
        <is>
          <t>Model</t>
        </is>
      </c>
      <c r="M140" s="20" t="inlineStr">
        <is>
          <t>Elektriciteit</t>
        </is>
      </c>
      <c r="N140" s="20" t="inlineStr">
        <is>
          <t>4 Operationeel</t>
        </is>
      </c>
      <c r="O140" s="20" t="inlineStr">
        <is>
          <t>-</t>
        </is>
      </c>
      <c r="P140" s="20" t="inlineStr">
        <is>
          <t>-</t>
        </is>
      </c>
      <c r="Q140" s="20" t="n"/>
      <c r="R140" s="20" t="inlineStr">
        <is>
          <t>Ausgrid (DSO), Neara</t>
        </is>
      </c>
      <c r="S140" s="20" t="inlineStr">
        <is>
          <t>Geen</t>
        </is>
      </c>
      <c r="T140" s="20" t="inlineStr">
        <is>
          <t>3D-twin van het volledige Ausgrid-netwerk voor ontwerp, monitoring en vegetatiebeheer</t>
        </is>
      </c>
      <c r="U140" s="20" t="inlineStr">
        <is>
          <t>Asset- en ontwerptwin voor weerbaarheid; Neara werkt ook voor ESB Networks (DT-125)</t>
        </is>
      </c>
      <c r="V140" s="20" t="inlineStr">
        <is>
          <t>https://ausgrid.com.au/About-Us/News/Ausgrid-Partners-with-Neara</t>
        </is>
      </c>
      <c r="W140" s="20" t="n">
        <v>-33.87</v>
      </c>
      <c r="X140" s="20" t="n">
        <v>151.21</v>
      </c>
      <c r="Y140" s="20" t="inlineStr">
        <is>
          <t>v5</t>
        </is>
      </c>
      <c r="Z140" s="23" t="inlineStr">
        <is>
          <t>nee</t>
        </is>
      </c>
      <c r="AA140" s="20" t="inlineStr">
        <is>
          <t>Twin-instantie</t>
        </is>
      </c>
      <c r="AB140" s="20" t="inlineStr">
        <is>
          <t>Model</t>
        </is>
      </c>
      <c r="AC140" s="20" t="inlineStr">
        <is>
          <t>Gerealiseerd</t>
        </is>
      </c>
      <c r="AD140" s="20" t="inlineStr">
        <is>
          <t>1 Digitaal model</t>
        </is>
      </c>
      <c r="AE140" s="20" t="inlineStr">
        <is>
          <t>Elektriciteit</t>
        </is>
      </c>
      <c r="AF140" s="20" t="inlineStr">
        <is>
          <t>Geen</t>
        </is>
      </c>
      <c r="AG140" s="20" t="inlineStr">
        <is>
          <t>B primaire bron</t>
        </is>
      </c>
    </row>
    <row r="141" ht="41.75" customHeight="1" s="15">
      <c r="A141" s="20" t="inlineStr">
        <is>
          <t>DT-140</t>
        </is>
      </c>
      <c r="B141" s="20" t="inlineStr">
        <is>
          <t>I</t>
        </is>
      </c>
      <c r="C141" s="20" t="inlineStr">
        <is>
          <t>Internationaal (buiten de EU)</t>
        </is>
      </c>
      <c r="D141" s="20" t="inlineStr">
        <is>
          <t>Project PLATEAU: open 3D-stadsmodellen (Japan)</t>
        </is>
      </c>
      <c r="E141" s="20" t="inlineStr">
        <is>
          <t>GO</t>
        </is>
      </c>
      <c r="F141" s="20" t="inlineStr">
        <is>
          <t>Internationaal</t>
        </is>
      </c>
      <c r="G141" s="20" t="inlineStr">
        <is>
          <t>JP</t>
        </is>
      </c>
      <c r="H141" s="20" t="inlineStr">
        <is>
          <t>Bouwsteen</t>
        </is>
      </c>
      <c r="I141" s="20" t="inlineStr">
        <is>
          <t>Scenario &amp; planning</t>
        </is>
      </c>
      <c r="J141" s="20" t="inlineStr">
        <is>
          <t>Inzicht &amp; monitoring</t>
        </is>
      </c>
      <c r="K141" s="20" t="inlineStr">
        <is>
          <t>Net / nationaal systeem</t>
        </is>
      </c>
      <c r="L141" s="20" t="inlineStr">
        <is>
          <t>Model</t>
        </is>
      </c>
      <c r="M141" s="20" t="inlineStr">
        <is>
          <t>GO, zon, energiebeheer gebied</t>
        </is>
      </c>
      <c r="N141" s="20" t="inlineStr">
        <is>
          <t>5 Opgeschaald</t>
        </is>
      </c>
      <c r="O141" s="20" t="inlineStr">
        <is>
          <t>-</t>
        </is>
      </c>
      <c r="P141" s="20" t="inlineStr">
        <is>
          <t>-</t>
        </is>
      </c>
      <c r="Q141" s="20" t="inlineStr">
        <is>
          <t>BS-CITYGML</t>
        </is>
      </c>
      <c r="R141" s="20" t="inlineStr">
        <is>
          <t>Ministerie MLIT; &gt;400 organisaties</t>
        </is>
      </c>
      <c r="S141" s="20" t="inlineStr">
        <is>
          <t>Geen</t>
        </is>
      </c>
      <c r="T141" s="20" t="inlineStr">
        <is>
          <t>Ca. 250 steden als open data (CityGML, standaard v5.0); PLATEAU Vision 2026; &gt;100 use cases</t>
        </is>
      </c>
      <c r="U141" s="20" t="inlineStr">
        <is>
          <t>Grootste open, semantische 3D-stadsbasis; energie-use cases: zonnepotentieel, hitte, energiebeheer op gebiedsniveau</t>
        </is>
      </c>
      <c r="V141" s="20" t="inlineStr">
        <is>
          <t>https://www.mlit.go.jp/plateau/en/</t>
        </is>
      </c>
      <c r="W141" s="20" t="n">
        <v>35.68</v>
      </c>
      <c r="X141" s="20" t="n">
        <v>139.69</v>
      </c>
      <c r="Y141" s="20" t="inlineStr">
        <is>
          <t>v5</t>
        </is>
      </c>
      <c r="Z141" s="23" t="inlineStr">
        <is>
          <t>nee</t>
        </is>
      </c>
      <c r="AA141" s="20" t="inlineStr">
        <is>
          <t>Stelsel (bouwsteen)</t>
        </is>
      </c>
      <c r="AB141" s="20" t="inlineStr">
        <is>
          <t>Model</t>
        </is>
      </c>
      <c r="AC141" s="20" t="inlineStr">
        <is>
          <t>Gerealiseerd</t>
        </is>
      </c>
      <c r="AD141" s="20" t="inlineStr">
        <is>
          <t>1 Digitaal model</t>
        </is>
      </c>
      <c r="AE141" s="20" t="inlineStr">
        <is>
          <t>n.v.t.</t>
        </is>
      </c>
      <c r="AF141" s="20" t="inlineStr">
        <is>
          <t>Geen</t>
        </is>
      </c>
      <c r="AG141" s="20" t="inlineStr">
        <is>
          <t>B primaire bron</t>
        </is>
      </c>
    </row>
    <row r="142" ht="41.75" customHeight="1" s="15">
      <c r="A142" s="20" t="inlineStr">
        <is>
          <t>DT-141</t>
        </is>
      </c>
      <c r="B142" s="20" t="inlineStr">
        <is>
          <t>I</t>
        </is>
      </c>
      <c r="C142" s="20" t="inlineStr">
        <is>
          <t>Internationaal (buiten de EU)</t>
        </is>
      </c>
      <c r="D142" s="20" t="inlineStr">
        <is>
          <t>Aotearoa NZ Digital Twins Initiative (Nieuw-Zeeland)</t>
        </is>
      </c>
      <c r="E142" s="20" t="inlineStr">
        <is>
          <t>Overig</t>
        </is>
      </c>
      <c r="F142" s="20" t="inlineStr">
        <is>
          <t>Internationaal</t>
        </is>
      </c>
      <c r="G142" s="20" t="inlineStr">
        <is>
          <t>NZ</t>
        </is>
      </c>
      <c r="H142" s="20" t="inlineStr">
        <is>
          <t>Samenwerking/kennis</t>
        </is>
      </c>
      <c r="I142" s="20" t="inlineStr">
        <is>
          <t>Onderzoek &amp; training</t>
        </is>
      </c>
      <c r="J142" s="20" t="inlineStr">
        <is>
          <t>Scenario &amp; planning</t>
        </is>
      </c>
      <c r="K142" s="20" t="inlineStr">
        <is>
          <t>Net / nationaal systeem</t>
        </is>
      </c>
      <c r="L142" s="20" t="inlineStr">
        <is>
          <t>n.v.t.</t>
        </is>
      </c>
      <c r="M142" s="20" t="inlineStr">
        <is>
          <t>Energie (incl. geothermie), water, transport</t>
        </is>
      </c>
      <c r="N142" s="20" t="inlineStr">
        <is>
          <t>1 Verkenning</t>
        </is>
      </c>
      <c r="O142" s="20" t="inlineStr">
        <is>
          <t>-</t>
        </is>
      </c>
      <c r="P142" s="20" t="inlineStr">
        <is>
          <t>-</t>
        </is>
      </c>
      <c r="Q142" s="20" t="n"/>
      <c r="R142" s="20" t="inlineStr">
        <is>
          <t>ORUA (University of Auckland): Smart Digital Lab, Geothermal Modelling Group, Public Policy Institute</t>
        </is>
      </c>
      <c r="S142" s="20" t="inlineStr">
        <is>
          <t>Geen</t>
        </is>
      </c>
      <c r="T142" s="20" t="inlineStr">
        <is>
          <t>In ontwikkeling; zoekt partners; beoogt nationale twin met strategische twins per sector</t>
        </is>
      </c>
      <c r="U142" s="20" t="inlineStr">
        <is>
          <t>Onderzoeksgedreven route naar een nationale twin; geen overheidstrekker</t>
        </is>
      </c>
      <c r="V142" s="20" t="inlineStr">
        <is>
          <t>https://orua.auckland.ac.nz/project/aotearoa-new-zealand-digital-twins-initiative/</t>
        </is>
      </c>
      <c r="W142" s="20" t="n">
        <v>-36.85</v>
      </c>
      <c r="X142" s="20" t="n">
        <v>174.76</v>
      </c>
      <c r="Y142" s="20" t="inlineStr">
        <is>
          <t>v5</t>
        </is>
      </c>
      <c r="Z142" s="23" t="inlineStr">
        <is>
          <t>nee</t>
        </is>
      </c>
      <c r="AA142" s="20" t="inlineStr">
        <is>
          <t>Ecosysteem</t>
        </is>
      </c>
      <c r="AB142" s="20" t="inlineStr">
        <is>
          <t>n.v.t.</t>
        </is>
      </c>
      <c r="AC142" s="20" t="inlineStr">
        <is>
          <t>n.v.t.</t>
        </is>
      </c>
      <c r="AD142" s="20" t="inlineStr">
        <is>
          <t>-</t>
        </is>
      </c>
      <c r="AE142" s="20" t="inlineStr">
        <is>
          <t>Warmte/koude</t>
        </is>
      </c>
      <c r="AF142" s="20" t="inlineStr">
        <is>
          <t>Geen</t>
        </is>
      </c>
      <c r="AG142" s="20" t="inlineStr">
        <is>
          <t>B primaire bron</t>
        </is>
      </c>
    </row>
    <row r="143" ht="41.75" customHeight="1" s="15">
      <c r="A143" s="20" t="inlineStr">
        <is>
          <t>DT-142</t>
        </is>
      </c>
      <c r="B143" s="20" t="inlineStr">
        <is>
          <t>I</t>
        </is>
      </c>
      <c r="C143" s="20" t="inlineStr">
        <is>
          <t>Internationaal (buiten de EU)</t>
        </is>
      </c>
      <c r="D143" s="20" t="inlineStr">
        <is>
          <t>Counties Energy x Fugro ROAMES: distributienettwin (Nieuw-Zeeland)</t>
        </is>
      </c>
      <c r="E143" s="20" t="inlineStr">
        <is>
          <t>Energie</t>
        </is>
      </c>
      <c r="F143" s="20" t="inlineStr">
        <is>
          <t>Internationaal</t>
        </is>
      </c>
      <c r="G143" s="20" t="inlineStr">
        <is>
          <t>NZ</t>
        </is>
      </c>
      <c r="H143" s="20" t="inlineStr">
        <is>
          <t>Twin-instantie</t>
        </is>
      </c>
      <c r="I143" s="20" t="inlineStr">
        <is>
          <t>Inzicht &amp; monitoring</t>
        </is>
      </c>
      <c r="J143" s="20" t="inlineStr">
        <is>
          <t>Ontwerp &amp; engineering</t>
        </is>
      </c>
      <c r="K143" s="20" t="inlineStr">
        <is>
          <t>Gemeente / regio</t>
        </is>
      </c>
      <c r="L143" s="20" t="inlineStr">
        <is>
          <t>Model</t>
        </is>
      </c>
      <c r="M143" s="20" t="inlineStr">
        <is>
          <t>Elektriciteit</t>
        </is>
      </c>
      <c r="N143" s="20" t="inlineStr">
        <is>
          <t>4 Operationeel</t>
        </is>
      </c>
      <c r="O143" s="20" t="inlineStr">
        <is>
          <t>-</t>
        </is>
      </c>
      <c r="P143" s="20" t="inlineStr">
        <is>
          <t>-</t>
        </is>
      </c>
      <c r="Q143" s="20" t="n"/>
      <c r="R143" s="20" t="inlineStr">
        <is>
          <t>Counties Energy (DSO, ca. 50.000 aansluitingen), Fugro</t>
        </is>
      </c>
      <c r="S143" s="20" t="inlineStr">
        <is>
          <t>Geen</t>
        </is>
      </c>
      <c r="T143" s="20" t="inlineStr">
        <is>
          <t>Gerealiseerd nov. 2022 tot sept. 2023 met lidar en luchtfoto's</t>
        </is>
      </c>
      <c r="U143" s="20" t="inlineStr">
        <is>
          <t>Asset-twin uit remote sensing; vergelijkbaar met Liander Grid Vision</t>
        </is>
      </c>
      <c r="V143" s="20" t="inlineStr">
        <is>
          <t>https://www.fugro.com/expertise/case-studies/fugro-roames-delivers-digital-twin-of-new-zealand-power-grid-network</t>
        </is>
      </c>
      <c r="W143" s="20" t="n">
        <v>-37.2</v>
      </c>
      <c r="X143" s="20" t="n">
        <v>174.9</v>
      </c>
      <c r="Y143" s="20" t="inlineStr">
        <is>
          <t>v5</t>
        </is>
      </c>
      <c r="Z143" s="23" t="inlineStr">
        <is>
          <t>nee</t>
        </is>
      </c>
      <c r="AA143" s="20" t="inlineStr">
        <is>
          <t>Twin-instantie</t>
        </is>
      </c>
      <c r="AB143" s="20" t="inlineStr">
        <is>
          <t>Model</t>
        </is>
      </c>
      <c r="AC143" s="20" t="inlineStr">
        <is>
          <t>Gerealiseerd</t>
        </is>
      </c>
      <c r="AD143" s="20" t="inlineStr">
        <is>
          <t>1 Digitaal model</t>
        </is>
      </c>
      <c r="AE143" s="20" t="inlineStr">
        <is>
          <t>Elektriciteit</t>
        </is>
      </c>
      <c r="AF143" s="20" t="inlineStr">
        <is>
          <t>Geen</t>
        </is>
      </c>
      <c r="AG143" s="20" t="inlineStr">
        <is>
          <t>B primaire bron</t>
        </is>
      </c>
    </row>
    <row r="144" ht="28.35" customHeight="1" s="15">
      <c r="A144" s="20" t="inlineStr">
        <is>
          <t>DT-143</t>
        </is>
      </c>
      <c r="B144" s="20" t="inlineStr">
        <is>
          <t>I</t>
        </is>
      </c>
      <c r="C144" s="20" t="inlineStr">
        <is>
          <t>Internationaal (buiten de EU)</t>
        </is>
      </c>
      <c r="D144" s="20" t="inlineStr">
        <is>
          <t>OGC Urban Digital Twins Domain Working Group</t>
        </is>
      </c>
      <c r="E144" s="20" t="inlineStr">
        <is>
          <t>GO</t>
        </is>
      </c>
      <c r="F144" s="20" t="inlineStr">
        <is>
          <t>Internationaal</t>
        </is>
      </c>
      <c r="G144" s="20" t="inlineStr">
        <is>
          <t>INT</t>
        </is>
      </c>
      <c r="H144" s="20" t="inlineStr">
        <is>
          <t>Samenwerking/kennis</t>
        </is>
      </c>
      <c r="I144" s="20" t="inlineStr">
        <is>
          <t>Ontwerp &amp; engineering</t>
        </is>
      </c>
      <c r="J144" s="20" t="n"/>
      <c r="K144" s="20" t="inlineStr">
        <is>
          <t>Europees</t>
        </is>
      </c>
      <c r="L144" s="20" t="inlineStr">
        <is>
          <t>n.v.t.</t>
        </is>
      </c>
      <c r="M144" s="20" t="inlineStr">
        <is>
          <t>n.v.t.</t>
        </is>
      </c>
      <c r="N144" s="20" t="inlineStr">
        <is>
          <t>4 Operationeel</t>
        </is>
      </c>
      <c r="O144" s="20" t="inlineStr">
        <is>
          <t>-</t>
        </is>
      </c>
      <c r="P144" s="20" t="inlineStr">
        <is>
          <t>-</t>
        </is>
      </c>
      <c r="Q144" s="20" t="inlineStr">
        <is>
          <t>BS-CITYGML;BS-3DTILES</t>
        </is>
      </c>
      <c r="R144" s="20" t="inlineStr">
        <is>
          <t>Open Geospatial Consortium</t>
        </is>
      </c>
      <c r="S144" s="20" t="inlineStr">
        <is>
          <t>Geonovum en NL-leden</t>
        </is>
      </c>
      <c r="T144" s="20" t="inlineStr">
        <is>
          <t>Actief; pilotrapport OGC 24-067r1</t>
        </is>
      </c>
      <c r="U144" s="20" t="inlineStr">
        <is>
          <t>Open standaarden voor gekoppelde stedelijke twins (OGC API's, CityGML 3.0, 3D Tiles)</t>
        </is>
      </c>
      <c r="V144" s="20" t="inlineStr">
        <is>
          <t>https://www.ogc.org/groups/urban-digital-twins-domain-working-group/</t>
        </is>
      </c>
      <c r="W144" s="20" t="n"/>
      <c r="X144" s="20" t="n"/>
      <c r="Y144" s="20" t="inlineStr">
        <is>
          <t>v6</t>
        </is>
      </c>
      <c r="Z144" s="23" t="inlineStr">
        <is>
          <t>nee</t>
        </is>
      </c>
      <c r="AA144" s="20" t="inlineStr">
        <is>
          <t>Ecosysteem</t>
        </is>
      </c>
      <c r="AB144" s="20" t="inlineStr">
        <is>
          <t>n.v.t.</t>
        </is>
      </c>
      <c r="AC144" s="20" t="inlineStr">
        <is>
          <t>n.v.t.</t>
        </is>
      </c>
      <c r="AD144" s="20" t="inlineStr">
        <is>
          <t>-</t>
        </is>
      </c>
      <c r="AE144" s="20" t="inlineStr">
        <is>
          <t>n.v.t.</t>
        </is>
      </c>
      <c r="AF144" s="20" t="inlineStr">
        <is>
          <t>Partner/deelnemer</t>
        </is>
      </c>
      <c r="AG144" s="20" t="inlineStr">
        <is>
          <t>B primaire bron</t>
        </is>
      </c>
    </row>
    <row r="145" ht="28.35" customHeight="1" s="15">
      <c r="A145" s="20" t="inlineStr">
        <is>
          <t>DT-144</t>
        </is>
      </c>
      <c r="B145" s="20" t="inlineStr">
        <is>
          <t>I</t>
        </is>
      </c>
      <c r="C145" s="20" t="inlineStr">
        <is>
          <t>Internationaal (buiten de EU)</t>
        </is>
      </c>
      <c r="D145" s="20" t="inlineStr">
        <is>
          <t>Digital Twin Consortium</t>
        </is>
      </c>
      <c r="E145" s="20" t="inlineStr">
        <is>
          <t>Overig</t>
        </is>
      </c>
      <c r="F145" s="20" t="inlineStr">
        <is>
          <t>Internationaal</t>
        </is>
      </c>
      <c r="G145" s="20" t="inlineStr">
        <is>
          <t>US</t>
        </is>
      </c>
      <c r="H145" s="20" t="inlineStr">
        <is>
          <t>Samenwerking/kennis</t>
        </is>
      </c>
      <c r="I145" s="20" t="inlineStr">
        <is>
          <t>Ontwerp &amp; engineering</t>
        </is>
      </c>
      <c r="J145" s="20" t="n"/>
      <c r="K145" s="20" t="inlineStr">
        <is>
          <t>Europees</t>
        </is>
      </c>
      <c r="L145" s="20" t="inlineStr">
        <is>
          <t>n.v.t.</t>
        </is>
      </c>
      <c r="M145" s="20" t="inlineStr">
        <is>
          <t>n.v.t.</t>
        </is>
      </c>
      <c r="N145" s="20" t="inlineStr">
        <is>
          <t>4 Operationeel</t>
        </is>
      </c>
      <c r="O145" s="20" t="inlineStr">
        <is>
          <t>ISO/IEC 30173</t>
        </is>
      </c>
      <c r="P145" s="20" t="inlineStr">
        <is>
          <t>ISO30173</t>
        </is>
      </c>
      <c r="Q145" s="20" t="n"/>
      <c r="R145" s="20" t="inlineStr">
        <is>
          <t>Object Management Group-leden</t>
        </is>
      </c>
      <c r="S145" s="20" t="inlineStr">
        <is>
          <t>Via leden</t>
        </is>
      </c>
      <c r="T145" s="20" t="inlineStr">
        <is>
          <t>Actief; Capabilities Periodic Table v1.1 (2024)</t>
        </is>
      </c>
      <c r="U145" s="20" t="inlineStr">
        <is>
          <t>Generiek capabilitykader; door Geonovum vereenvoudigd gebruikt</t>
        </is>
      </c>
      <c r="V145" s="20" t="inlineStr">
        <is>
          <t>https://www.digitaltwinconsortium.org/</t>
        </is>
      </c>
      <c r="W145" s="20" t="n">
        <v>42.28</v>
      </c>
      <c r="X145" s="20" t="n">
        <v>-71.23999999999999</v>
      </c>
      <c r="Y145" s="20" t="inlineStr">
        <is>
          <t>v6</t>
        </is>
      </c>
      <c r="Z145" s="23" t="inlineStr">
        <is>
          <t>nee</t>
        </is>
      </c>
      <c r="AA145" s="20" t="inlineStr">
        <is>
          <t>Ecosysteem</t>
        </is>
      </c>
      <c r="AB145" s="20" t="inlineStr">
        <is>
          <t>n.v.t.</t>
        </is>
      </c>
      <c r="AC145" s="20" t="inlineStr">
        <is>
          <t>n.v.t.</t>
        </is>
      </c>
      <c r="AD145" s="20" t="inlineStr">
        <is>
          <t>-</t>
        </is>
      </c>
      <c r="AE145" s="20" t="inlineStr">
        <is>
          <t>n.v.t.</t>
        </is>
      </c>
      <c r="AF145" s="20" t="inlineStr">
        <is>
          <t>Partner/deelnemer</t>
        </is>
      </c>
      <c r="AG145" s="20" t="inlineStr">
        <is>
          <t>B primaire bron</t>
        </is>
      </c>
    </row>
    <row r="146" ht="28.35" customHeight="1" s="15">
      <c r="A146" s="20" t="inlineStr">
        <is>
          <t>DT-145</t>
        </is>
      </c>
      <c r="B146" s="20" t="inlineStr">
        <is>
          <t>I</t>
        </is>
      </c>
      <c r="C146" s="20" t="inlineStr">
        <is>
          <t>Internationaal (buiten de EU)</t>
        </is>
      </c>
      <c r="D146" s="20" t="inlineStr">
        <is>
          <t>buildingSMART Digital Twin Working Group</t>
        </is>
      </c>
      <c r="E146" s="20" t="inlineStr">
        <is>
          <t>GO</t>
        </is>
      </c>
      <c r="F146" s="20" t="inlineStr">
        <is>
          <t>Internationaal</t>
        </is>
      </c>
      <c r="G146" s="20" t="inlineStr">
        <is>
          <t>INT</t>
        </is>
      </c>
      <c r="H146" s="20" t="inlineStr">
        <is>
          <t>Samenwerking/kennis</t>
        </is>
      </c>
      <c r="I146" s="20" t="inlineStr">
        <is>
          <t>Ontwerp &amp; engineering</t>
        </is>
      </c>
      <c r="J146" s="20" t="n"/>
      <c r="K146" s="20" t="inlineStr">
        <is>
          <t>Europees</t>
        </is>
      </c>
      <c r="L146" s="20" t="inlineStr">
        <is>
          <t>n.v.t.</t>
        </is>
      </c>
      <c r="M146" s="20" t="inlineStr">
        <is>
          <t>n.v.t.</t>
        </is>
      </c>
      <c r="N146" s="20" t="inlineStr">
        <is>
          <t>4 Operationeel</t>
        </is>
      </c>
      <c r="O146" s="20" t="inlineStr">
        <is>
          <t>-</t>
        </is>
      </c>
      <c r="P146" s="20" t="inlineStr">
        <is>
          <t>-</t>
        </is>
      </c>
      <c r="Q146" s="20" t="inlineStr">
        <is>
          <t>BS-IFC</t>
        </is>
      </c>
      <c r="R146" s="20" t="inlineStr">
        <is>
          <t>buildingSMART International</t>
        </is>
      </c>
      <c r="S146" s="20" t="inlineStr">
        <is>
          <t>Via buildingSMART Benelux</t>
        </is>
      </c>
      <c r="T146" s="20" t="inlineStr">
        <is>
          <t>Actief; whitepaper 'Enabling an Ecosystem of Digital Twins' (2023)</t>
        </is>
      </c>
      <c r="U146" s="20" t="inlineStr">
        <is>
          <t>openBIM-perspectief op verbonden gebouw- en asset-twins</t>
        </is>
      </c>
      <c r="V146" s="20" t="inlineStr">
        <is>
          <t>https://www.buildingsmart.org/</t>
        </is>
      </c>
      <c r="W146" s="20" t="n"/>
      <c r="X146" s="20" t="n"/>
      <c r="Y146" s="20" t="inlineStr">
        <is>
          <t>v6</t>
        </is>
      </c>
      <c r="Z146" s="23" t="inlineStr">
        <is>
          <t>nee</t>
        </is>
      </c>
      <c r="AA146" s="20" t="inlineStr">
        <is>
          <t>Ecosysteem</t>
        </is>
      </c>
      <c r="AB146" s="20" t="inlineStr">
        <is>
          <t>n.v.t.</t>
        </is>
      </c>
      <c r="AC146" s="20" t="inlineStr">
        <is>
          <t>n.v.t.</t>
        </is>
      </c>
      <c r="AD146" s="20" t="inlineStr">
        <is>
          <t>-</t>
        </is>
      </c>
      <c r="AE146" s="20" t="inlineStr">
        <is>
          <t>n.v.t.</t>
        </is>
      </c>
      <c r="AF146" s="20" t="inlineStr">
        <is>
          <t>Partner/deelnemer</t>
        </is>
      </c>
      <c r="AG146" s="20" t="inlineStr">
        <is>
          <t>B primaire bron</t>
        </is>
      </c>
    </row>
    <row r="147">
      <c r="A147" s="20" t="inlineStr">
        <is>
          <t>DT-146</t>
        </is>
      </c>
      <c r="B147" s="20" t="inlineStr">
        <is>
          <t>C</t>
        </is>
      </c>
      <c r="C147" s="20" t="inlineStr">
        <is>
          <t>Samenwerking of kennis (NL)</t>
        </is>
      </c>
      <c r="D147" s="20" t="inlineStr">
        <is>
          <t>HOLON: holarchische lokale energiesystemen (Holontool en rapport Holons, ZEnMo e.a.)</t>
        </is>
      </c>
      <c r="E147" s="20" t="inlineStr">
        <is>
          <t>Energie</t>
        </is>
      </c>
      <c r="F147" s="20" t="inlineStr">
        <is>
          <t>NL</t>
        </is>
      </c>
      <c r="G147" s="20" t="inlineStr">
        <is>
          <t>NL</t>
        </is>
      </c>
      <c r="H147" s="20" t="inlineStr">
        <is>
          <t>Samenwerking/kennis</t>
        </is>
      </c>
      <c r="I147" s="20" t="inlineStr">
        <is>
          <t>Scenario &amp; planning</t>
        </is>
      </c>
      <c r="J147" s="20" t="inlineStr">
        <is>
          <t>Gezamenlijke besluitvorming, Onderzoek &amp; training</t>
        </is>
      </c>
      <c r="K147" s="20" t="inlineStr">
        <is>
          <t>Wijk / bedrijventerrein / hub</t>
        </is>
      </c>
      <c r="L147" s="20" t="inlineStr">
        <is>
          <t>Model</t>
        </is>
      </c>
      <c r="M147" s="20" t="inlineStr">
        <is>
          <t>Elektriciteit, warmte</t>
        </is>
      </c>
      <c r="N147" s="20" t="inlineStr">
        <is>
          <t>3 Demonstratie/lab</t>
        </is>
      </c>
      <c r="O147" s="20" t="inlineStr">
        <is>
          <t>Systeemintegratie (Energy Innovation NL); ADE; netcongestie</t>
        </is>
      </c>
      <c r="P147" s="20" t="inlineStr">
        <is>
          <t>TSE-INNOV;ADE</t>
        </is>
      </c>
      <c r="Q147" s="20" t="inlineStr">
        <is>
          <t>BS-HOLON;BS-ETM</t>
        </is>
      </c>
      <c r="R147" s="20" t="inlineStr">
        <is>
          <t>ZEnMo Simulations met TU/e, TNO, Antea Group, Quintel, Hanzehogeschool Groningen, Hogeschool van Amsterdam en Witteveen+Bos; opdrachtgevers RVO en Energy Innovation NL</t>
        </is>
      </c>
      <c r="S147" s="20" t="inlineStr">
        <is>
          <t>Trekker</t>
        </is>
      </c>
      <c r="T147" s="20" t="inlineStr">
        <is>
          <t>Holontool online sinds 2023 met vijf casussen (bedrijventerrein, industriecluster, woonwijk, landbouwbedrijf, gemeente); rapport 'Holons: lokale flex als oplossing voor netcongestie' (sept. 2026)</t>
        </is>
      </c>
      <c r="U147" s="20" t="inlineStr">
        <is>
          <t>Holarchie als ordeningsprincipe: woning, wijk, bedrijventerrein en gemeente balanceren eerst zelf en handelen dan met het niveau erboven; agent-based rekenkern die al in hub-twins draait (DT-031, DT-032). Het rapport rekent landelijk 23% lagere piekbelasting dan sturen op prijs alleen (modeluitkomst, geen prognose)</t>
        </is>
      </c>
      <c r="V147" s="20" t="inlineStr">
        <is>
          <t>https://www.witteveenbos.com/news/holontool ; https://solarmagazine.nl/nieuws-zonne-energie/i44683/slim-lokaal-flexibiliteitsbeheer-kan-kosten-verzwaren-stroomnet-halveren ; https://ioplus.nl/nl/posts/slimme-lokale-sturing-kan-miljarden-aan-netverzwaring-besparen</t>
        </is>
      </c>
      <c r="W147" s="20" t="n">
        <v>52.09</v>
      </c>
      <c r="X147" s="20" t="n">
        <v>5.12</v>
      </c>
      <c r="Y147" s="20" t="inlineStr">
        <is>
          <t>v14</t>
        </is>
      </c>
      <c r="Z147" s="23" t="inlineStr">
        <is>
          <t>nee</t>
        </is>
      </c>
      <c r="AA147" s="20" t="inlineStr">
        <is>
          <t>Ecosysteem</t>
        </is>
      </c>
      <c r="AB147" s="20" t="inlineStr">
        <is>
          <t>Model</t>
        </is>
      </c>
      <c r="AC147" s="20" t="inlineStr">
        <is>
          <t>n.v.t.</t>
        </is>
      </c>
      <c r="AD147" s="20" t="inlineStr">
        <is>
          <t>-</t>
        </is>
      </c>
      <c r="AE147" s="20" t="inlineStr">
        <is>
          <t>Elektriciteit; Warmte/koude (multi-commodity)</t>
        </is>
      </c>
      <c r="AF147" s="20" t="inlineStr">
        <is>
          <t>Trekker/eigenaar</t>
        </is>
      </c>
      <c r="AG147" s="20" t="inlineStr">
        <is>
          <t>C secundaire bron</t>
        </is>
      </c>
    </row>
  </sheetData>
  <autoFilter ref="A1:AG147"/>
  <dataValidations count="1">
    <dataValidation sqref="Z2:Z147" showDropDown="0" showInputMessage="0" showErrorMessage="0" allowBlank="1" type="list" errorStyle="stop" operator="between">
      <formula1>"ja,nee"</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30"/>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6" customWidth="1" style="14" min="1" max="1"/>
    <col width="16" customWidth="1" style="14" min="2" max="2"/>
    <col width="60" customWidth="1" style="14" min="3" max="4"/>
    <col width="26" customWidth="1" style="14" min="5" max="5"/>
    <col width="10" customWidth="1" style="14" min="6" max="6"/>
    <col width="50" customWidth="1" style="14" min="7" max="7"/>
    <col width="12" customWidth="1" style="14" min="8" max="8"/>
    <col width="40" customWidth="1" style="14" min="9" max="9"/>
    <col width="18" customWidth="1" style="14" min="10" max="10"/>
  </cols>
  <sheetData>
    <row r="1" ht="33.75" customHeight="1" s="15">
      <c r="A1" s="21" t="inlineStr">
        <is>
          <t>ID</t>
        </is>
      </c>
      <c r="B1" s="21" t="inlineStr">
        <is>
          <t>Thema</t>
        </is>
      </c>
      <c r="C1" s="21" t="inlineStr">
        <is>
          <t>Werkhypothese</t>
        </is>
      </c>
      <c r="D1" s="21" t="inlineStr">
        <is>
          <t>Onderbouwing (deskresearch)</t>
        </is>
      </c>
      <c r="E1" s="21" t="inlineStr">
        <is>
          <t>Initiatieven</t>
        </is>
      </c>
      <c r="F1" s="21" t="inlineStr">
        <is>
          <t>Zekerheid</t>
        </is>
      </c>
    </row>
    <row r="2" ht="55.2" customHeight="1" s="15">
      <c r="A2" s="20" t="inlineStr">
        <is>
          <t>H01</t>
        </is>
      </c>
      <c r="B2" s="20" t="inlineStr">
        <is>
          <t>Functies</t>
        </is>
      </c>
      <c r="C2" s="20" t="inlineStr">
        <is>
          <t>Scenario &amp; planning is de dominante functie, verdeeld over drie schalen: wijk/hub, net/nationaal en gemeente/regio. Op asset- en gebouwniveau gaat het vrijwel altijd om inzicht of sturing.</t>
        </is>
      </c>
      <c r="D2" s="20" t="inlineStr">
        <is>
          <t>65 van 146 initiatieven noemen scenario &amp; planning, 40 als primaire functie. Van de 25 energie-twins en -faciliteiten met deze primaire functie zitten er 9 op wijk/hub-, 8 op net/nationaal- en 7 op gemeente/regioniveau (figuur 3).</t>
        </is>
      </c>
      <c r="E2" s="20" t="inlineStr">
        <is>
          <t>DT-029 t/m DT-033, DT-046, DT-059, DT-012, DT-015, DT-022, DT-037, DT-038</t>
        </is>
      </c>
      <c r="F2" s="20" t="inlineStr">
        <is>
          <t>Hoog</t>
        </is>
      </c>
    </row>
    <row r="3" ht="55.2" customHeight="1" s="15">
      <c r="A3" s="20" t="inlineStr">
        <is>
          <t>H02</t>
        </is>
      </c>
      <c r="B3" s="20" t="inlineStr">
        <is>
          <t>Functies</t>
        </is>
      </c>
      <c r="C3" s="20" t="inlineStr">
        <is>
          <t>Functies komen in vaste paren voor. Dat wijst op twee archetypen: een plantwin (scenario + gezamenlijke besluitvorming) voor afstemming tussen partijen, en een operationele twin (inzicht + sturing) bij netbeheerders en assets.</t>
        </is>
      </c>
      <c r="D3" s="20" t="inlineStr">
        <is>
          <t>Bij 77 twin-instanties en faciliteiten zijn dit de twee meest voorkomende paren (elk 13 keer); 65 van de 77 hebben precies twee functies.</t>
        </is>
      </c>
      <c r="E3" s="20" t="inlineStr">
        <is>
          <t>DT-028, DT-031, DT-032, DT-046, DT-049, DT-035, DT-041, DT-055, DT-058, DT-120</t>
        </is>
      </c>
      <c r="F3" s="20" t="inlineStr">
        <is>
          <t>Midden</t>
        </is>
      </c>
    </row>
    <row r="4" ht="41.75" customHeight="1" s="15">
      <c r="A4" s="20" t="inlineStr">
        <is>
          <t>H03</t>
        </is>
      </c>
      <c r="B4" s="20" t="inlineStr">
        <is>
          <t>Functies</t>
        </is>
      </c>
      <c r="C4" s="20" t="inlineStr">
        <is>
          <t>Sturing &amp; optimalisatie wordt vaak beoogd maar zelden gerealiseerd. Operationeel sturende twins staan vooral buiten het elektriciteitsnet (gas, warmte, gebouwen, water).</t>
        </is>
      </c>
      <c r="D4" s="20" t="inlineStr">
        <is>
          <t>40 initiatieven noemen sturing; primair bij 11, waarvan de meeste lab of pilot zijn. Gerealiseerd en operationeel: Gasunie AGMS (DT-039), Gradyent (DT-042), VB Optimum (DT-045) en WBL (DT-054).</t>
        </is>
      </c>
      <c r="E4" s="20" t="inlineStr">
        <is>
          <t>DT-014, DT-024, DT-039, DT-042, DT-045, DT-054, DT-055, DT-058, DT-104</t>
        </is>
      </c>
      <c r="F4" s="20" t="inlineStr">
        <is>
          <t>Midden</t>
        </is>
      </c>
    </row>
    <row r="5" ht="41.75" customHeight="1" s="15">
      <c r="A5" s="20" t="inlineStr">
        <is>
          <t>H04</t>
        </is>
      </c>
      <c r="B5" s="20" t="inlineStr">
        <is>
          <t>Functies</t>
        </is>
      </c>
      <c r="C5" s="20" t="inlineStr">
        <is>
          <t>Voorspellen is als twinfunctie ondervertegenwoordigd, omdat voorspelmodellen (zoals OpenSTEF) door netbeheerders niet als twin worden gezien.</t>
        </is>
      </c>
      <c r="D5" s="20" t="inlineStr">
        <is>
          <t>Voorspellen komt 14 keer voor, primair 6 keer. OpenSTEF is bij Alliander operationeel maar staat als bouwsteen in het register.</t>
        </is>
      </c>
      <c r="E5" s="20" t="inlineStr">
        <is>
          <t>DT-069, DT-038, DT-039, DT-042, DT-056</t>
        </is>
      </c>
      <c r="F5" s="20" t="inlineStr">
        <is>
          <t>Laag</t>
        </is>
      </c>
    </row>
    <row r="6" ht="41.75" customHeight="1" s="15">
      <c r="A6" s="20" t="inlineStr">
        <is>
          <t>H05</t>
        </is>
      </c>
      <c r="B6" s="20" t="inlineStr">
        <is>
          <t>Functies</t>
        </is>
      </c>
      <c r="C6" s="20" t="inlineStr">
        <is>
          <t>In de gebouwde omgeving is de twin vooral een overleginstrument, in energie vooral een rekeninstrument. Een brug tussen beide vraagt om beide functies in één toepassing.</t>
        </is>
      </c>
      <c r="D6" s="20" t="inlineStr">
        <is>
          <t>Gezamenlijke besluitvorming: 19 van 34 GO-initiatieven, 16 van 80 energie-initiatieven, 7 van 17 Energie + GO.</t>
        </is>
      </c>
      <c r="E6" s="20" t="inlineStr">
        <is>
          <t>DT-006, DT-018, DT-048, DT-090, DT-049, DT-047, DT-028</t>
        </is>
      </c>
      <c r="F6" s="20" t="inlineStr">
        <is>
          <t>Midden</t>
        </is>
      </c>
    </row>
    <row r="7" ht="55.2" customHeight="1" s="15">
      <c r="A7" s="20" t="inlineStr">
        <is>
          <t>H06</t>
        </is>
      </c>
      <c r="B7" s="20" t="inlineStr">
        <is>
          <t>Overlap en aanvulling</t>
        </is>
      </c>
      <c r="C7" s="20" t="inlineStr">
        <is>
          <t>Energiehub-twins overlappen: Nederlandse initiatieven doen hetzelfde type scenario-analyse op wijk/hub-schaal met verschillende modellen, zonder zichtbaar hergebruik.</t>
        </is>
      </c>
      <c r="D7" s="20" t="inlineStr">
        <is>
          <t>Zeven NL-twins met scenario &amp; planning op wijk/hub-schaal (DT-029, DT-030, DT-031, DT-032, DT-033, DT-046, DT-059), plus blauwdruk EIGEN (DT-078) en GO-e (DT-079). Gebruikte modellen: HOLON (DT-031, DT-032), ESDL/ETM (DT-028), eigen optimizer (DT-033), Gradyent (DT-029).</t>
        </is>
      </c>
      <c r="E7" s="20" t="inlineStr">
        <is>
          <t>DT-029, DT-030, DT-031, DT-032, DT-033, DT-046, DT-059, DT-078, DT-079</t>
        </is>
      </c>
      <c r="F7" s="20" t="inlineStr">
        <is>
          <t>Midden</t>
        </is>
      </c>
    </row>
    <row r="8" ht="68.65000000000001" customHeight="1" s="15">
      <c r="A8" s="20" t="inlineStr">
        <is>
          <t>H07</t>
        </is>
      </c>
      <c r="B8" s="20" t="inlineStr">
        <is>
          <t>Overlap en aanvulling</t>
        </is>
      </c>
      <c r="C8" s="20" t="inlineStr">
        <is>
          <t>Rond de nationale systeemtwin lopen meerdere sporen die elkaar kunnen aanvullen: transportnet-simulatie (DT-015), weerdata uit Destination Earth (DT-038), het Control Room-lab (DT-014), de KIC (DT-013) en de onderzoeksinfrastructuur UTOPYS (DT-027) zijn kandidaat-deelsystemen of kennisbron voor de Nationale Faciliteit (DT-012).</t>
        </is>
      </c>
      <c r="D8" s="20" t="inlineStr">
        <is>
          <t>Vijf NL-initiatieven met scenario &amp; planning op net/nationaal niveau (DT-012, DT-015, DT-022, DT-037, DT-038); TU Delft en TenneT zijn bij vrijwel alle betrokken. De KIC-call stelt expliciet dat de resultaten van DT-013 in DT-012 worden gebruikt; voor DT-027 is geen relatie met DT-012 gevonden.</t>
        </is>
      </c>
      <c r="E8" s="20" t="inlineStr">
        <is>
          <t>DT-012, DT-013, DT-014, DT-015, DT-022, DT-037, DT-038, DT-103, DT-027</t>
        </is>
      </c>
      <c r="F8" s="20" t="inlineStr">
        <is>
          <t>Midden</t>
        </is>
      </c>
    </row>
    <row r="9" ht="41.75" customHeight="1" s="15">
      <c r="A9" s="20" t="inlineStr">
        <is>
          <t>H08</t>
        </is>
      </c>
      <c r="B9" s="20" t="inlineStr">
        <is>
          <t>Overlap en aanvulling</t>
        </is>
      </c>
      <c r="C9" s="20" t="inlineStr">
        <is>
          <t>In de gebouwde omgeving lopen twee open platformlijnen naast elkaar (Netherlands3D en Digitale Tweeling Nederland), met daarnaast commerciële platforms (Argaleo, Esri) per gemeente.</t>
        </is>
      </c>
      <c r="D9" s="20" t="inlineStr">
        <is>
          <t>DT-071 en DT-072 hebben beide inzicht &amp; monitoring en gezamenlijke besluitvorming op gemeenteschaal; DT-034, DT-052 en DT-053 gebruiken Argaleo, DT-040 en DT-049 Esri.</t>
        </is>
      </c>
      <c r="E9" s="20" t="inlineStr">
        <is>
          <t>DT-071, DT-072, DT-075, DT-017, DT-089, DT-092, DT-034, DT-040, DT-049, DT-052, DT-053</t>
        </is>
      </c>
      <c r="F9" s="20" t="inlineStr">
        <is>
          <t>Midden</t>
        </is>
      </c>
    </row>
    <row r="10" ht="41.75" customHeight="1" s="15">
      <c r="A10" s="20" t="inlineStr">
        <is>
          <t>H09</t>
        </is>
      </c>
      <c r="B10" s="20" t="inlineStr">
        <is>
          <t>Overlap en aanvulling</t>
        </is>
      </c>
      <c r="C10" s="20" t="inlineStr">
        <is>
          <t>Open rekenkernen (LF Energy) en de twinplatforms van netbeheerders vullen elkaar aan, maar zijn niet verbonden: platforms worden ingekocht, rekenkernen apart ontwikkeld.</t>
        </is>
      </c>
      <c r="D10" s="20" t="inlineStr">
        <is>
          <t>Liander koopt Gridscale X (Siemens) en assetinventaris (eSmart), terwijl Alliander Power Grid Model en OpenSTEF initieert. Buitenlandse DSO's gebruiken Envelio, Neara of Kongsberg.</t>
        </is>
      </c>
      <c r="E10" s="20" t="inlineStr">
        <is>
          <t>DT-069, DT-070, DT-035, DT-036, DT-037, DT-115, DT-120, DT-124, DT-125, DT-139</t>
        </is>
      </c>
      <c r="F10" s="20" t="inlineStr">
        <is>
          <t>Midden</t>
        </is>
      </c>
    </row>
    <row r="11" ht="41.75" customHeight="1" s="15">
      <c r="A11" s="20" t="inlineStr">
        <is>
          <t>H10</t>
        </is>
      </c>
      <c r="B11" s="20" t="inlineStr">
        <is>
          <t>Overlap en aanvulling</t>
        </is>
      </c>
      <c r="C11" s="20" t="inlineStr">
        <is>
          <t>Het Normo en het Energie Dataportaal leveren de data die regionale en lokale twins nodig hebben, maar de roadmap dataproducten noemt twins niet. De vraag- en aanbodkant zijn nog niet verbonden.</t>
        </is>
      </c>
      <c r="D11" s="20" t="inlineStr">
        <is>
          <t>De roadmap van januari 2026 noemt twins niet (DT-067). Energie + GO-twins gebruiken capaciteits- en netdata (DT-049, DT-088, DT-057).</t>
        </is>
      </c>
      <c r="E11" s="20" t="inlineStr">
        <is>
          <t>DT-066, DT-067, DT-049, DT-088, DT-057, DT-028</t>
        </is>
      </c>
      <c r="F11" s="20" t="inlineStr">
        <is>
          <t>Hoog</t>
        </is>
      </c>
    </row>
    <row r="12" ht="41.75" customHeight="1" s="15">
      <c r="A12" s="20" t="inlineStr">
        <is>
          <t>H11</t>
        </is>
      </c>
      <c r="B12" s="20" t="inlineStr">
        <is>
          <t>Overlap en aanvulling</t>
        </is>
      </c>
      <c r="C12" s="20" t="inlineStr">
        <is>
          <t>Afgeronde MOOI-, SBIR- en NWO-projecten hebben twin-componenten opgeleverd die niet zichtbaar worden hergebruikt.</t>
        </is>
      </c>
      <c r="D12" s="20" t="inlineStr">
        <is>
          <t>Afgerond: SynergyS (DT-016), TeSopS (DT-023), Realtime systeemwerking (DT-024), LEO (DT-056), TROEF (DT-058), EIGEN (DT-078), GO-e (DT-079). Bij geen van deze is een beheerder of vervolg vastgesteld.</t>
        </is>
      </c>
      <c r="E12" s="20" t="inlineStr">
        <is>
          <t>DT-016, DT-023, DT-024, DT-056, DT-058, DT-078, DT-079</t>
        </is>
      </c>
      <c r="F12" s="20" t="inlineStr">
        <is>
          <t>Midden</t>
        </is>
      </c>
    </row>
    <row r="13" ht="41.75" customHeight="1" s="15">
      <c r="A13" s="20" t="inlineStr">
        <is>
          <t>H12</t>
        </is>
      </c>
      <c r="B13" s="20" t="inlineStr">
        <is>
          <t>Gedeelde bouwstenen</t>
        </is>
      </c>
      <c r="C13" s="20" t="inlineStr">
        <is>
          <t>Basisregistraties (3D BAG, BGT, BAG) en netbeheerdersdata (capaciteit, netmodel, aansluitingen) zijn de meest gedeelde input van Nederlandse twins.</t>
        </is>
      </c>
      <c r="D13" s="20" t="inlineStr">
        <is>
          <t>Afgeleid uit beschrijvingen; bouwsteencodes zijn maar bij 39 van 146 initiatieven bekend. Dit is daarom een werkhypothese, geen telling.</t>
        </is>
      </c>
      <c r="E13" s="20" t="inlineStr">
        <is>
          <t>DT-074, DT-075, DT-067, DT-028, DT-049, DT-044, DT-057</t>
        </is>
      </c>
      <c r="F13" s="20" t="inlineStr">
        <is>
          <t>Midden</t>
        </is>
      </c>
    </row>
    <row r="14" ht="82.05" customHeight="1" s="15">
      <c r="A14" s="20" t="inlineStr">
        <is>
          <t>H13</t>
        </is>
      </c>
      <c r="B14" s="20" t="inlineStr">
        <is>
          <t>Gedeelde bouwstenen</t>
        </is>
      </c>
      <c r="C14" s="20" t="inlineStr">
        <is>
          <t>Er is geen gedeeld overzicht van welke modellen en rekenkernen in welke twin draaien. Er bestaat wel een keuzehulp voor energietransitierekenmodellen (DT-083), maar die zegt welk model er is, niet welk model in welke twin draait of hoe uitkomsten zich verhouden. In Nederland komen ESDL, HOLON en ETM steeds terug, en in het net CIM.</t>
        </is>
      </c>
      <c r="D14" s="20" t="inlineStr">
        <is>
          <t>ESDL 3x, HOLON 2x, ETM 2x, CIM 6x (vooral Europees). Van de 45 twin-instanties hebben er 6 een bouwsteencode. ADE-actie 1.1.4 (eisen aan simulatie-tooling, uniforme invoer en uitkomsten) is het eerste beleidsspoor dat dit adresseert; de actiehouder is nog niet bepaald.</t>
        </is>
      </c>
      <c r="E14" s="20" t="inlineStr">
        <is>
          <t>DT-063, DT-064, DT-065, DT-028, DT-031, DT-032, DT-088, DT-083</t>
        </is>
      </c>
      <c r="F14" s="20" t="inlineStr">
        <is>
          <t>Midden</t>
        </is>
      </c>
    </row>
    <row r="15" ht="55.2" customHeight="1" s="15">
      <c r="A15" s="20" t="inlineStr">
        <is>
          <t>H14</t>
        </is>
      </c>
      <c r="B15" s="20" t="inlineStr">
        <is>
          <t>Gedeelde bouwstenen</t>
        </is>
      </c>
      <c r="C15" s="20" t="inlineStr">
        <is>
          <t>Infrastructuur valt uiteen in twee families zonder gemeenschappelijk koppelvlak: GIS/3D-platforms in de gebouwde omgeving (Esri, 3D Tiles, Netherlands3D, TerriaJS) en netbeheerplatforms in energie (Siemens, Envelio, Neara, eSmart, Kongsberg).</t>
        </is>
      </c>
      <c r="D15" s="20" t="inlineStr">
        <is>
          <t>Afgeleid uit trekkers en bouwstenen; geen enkel initiatief combineert beide families expliciet.</t>
        </is>
      </c>
      <c r="E15" s="20" t="inlineStr">
        <is>
          <t>DT-071, DT-075, DT-137, DT-138, DT-035, DT-036, DT-115, DT-124, DT-139</t>
        </is>
      </c>
      <c r="F15" s="20" t="inlineStr">
        <is>
          <t>Midden</t>
        </is>
      </c>
    </row>
    <row r="16" ht="41.75" customHeight="1" s="15">
      <c r="A16" s="20" t="inlineStr">
        <is>
          <t>H15</t>
        </is>
      </c>
      <c r="B16" s="20" t="inlineStr">
        <is>
          <t>Gedeelde bouwstenen</t>
        </is>
      </c>
      <c r="C16" s="20" t="inlineStr">
        <is>
          <t>Afsprakenstelsels bestaan naast elkaar (Het Normo, DSGO, iSHARE, het DMI-afsprakenstelsel); iSHARE en CIM zijn de enige bouwstenen die domeinen kruisen.</t>
        </is>
      </c>
      <c r="D16" s="20" t="inlineStr">
        <is>
          <t>iSHARE bij DT-008, DT-081 en DT-088; Het Normo bij 3 initiatieven; DSGO bij 3.</t>
        </is>
      </c>
      <c r="E16" s="20" t="inlineStr">
        <is>
          <t>DT-066, DT-008, DT-081, DT-088, DT-091</t>
        </is>
      </c>
      <c r="F16" s="20" t="inlineStr">
        <is>
          <t>Midden</t>
        </is>
      </c>
    </row>
    <row r="17" ht="55.2" customHeight="1" s="15">
      <c r="A17" s="20" t="inlineStr">
        <is>
          <t>H16</t>
        </is>
      </c>
      <c r="B17" s="20" t="inlineStr">
        <is>
          <t>Benaderingen</t>
        </is>
      </c>
      <c r="C17" s="20" t="inlineStr">
        <is>
          <t>Op nationaal niveau zijn er twee benaderingen: een centraal model met deelsystemen (Nationale Faciliteit, EDiT, KIT) tegenover een federatie van bestaande twins (ENTSO-E/DSO Entity, NESO VES, TwinEU).</t>
        </is>
      </c>
      <c r="D17" s="20" t="inlineStr">
        <is>
          <t>DT-012 beschrijft 'zes deelsystemen in één model'; ENTSO-E publiceerde 'Towards a Federated Approach' (februari 2026); NESO bouwt eerst Common Framework en Data Sharing Infrastructure.</t>
        </is>
      </c>
      <c r="E17" s="20" t="inlineStr">
        <is>
          <t>DT-012, DT-123, DT-117, DT-099, DT-130, DT-098</t>
        </is>
      </c>
      <c r="F17" s="20" t="inlineStr">
        <is>
          <t>Midden</t>
        </is>
      </c>
    </row>
    <row r="18" ht="28.35" customHeight="1" s="15">
      <c r="A18" s="20" t="inlineStr">
        <is>
          <t>H17</t>
        </is>
      </c>
      <c r="B18" s="20" t="inlineStr">
        <is>
          <t>Benaderingen</t>
        </is>
      </c>
      <c r="C18" s="20" t="inlineStr">
        <is>
          <t>Netbeheerders kiezen verschillend tussen inkopen en zelf (open source) ontwikkelen; ook binnen één organisatie (Alliander/Liander).</t>
        </is>
      </c>
      <c r="D18" s="20" t="inlineStr">
        <is>
          <t>Zie H09.</t>
        </is>
      </c>
      <c r="E18" s="20" t="inlineStr">
        <is>
          <t>DT-035, DT-036, DT-069, DT-037</t>
        </is>
      </c>
      <c r="F18" s="20" t="inlineStr">
        <is>
          <t>Midden</t>
        </is>
      </c>
    </row>
    <row r="19" ht="55.2" customHeight="1" s="15">
      <c r="A19" s="20" t="inlineStr">
        <is>
          <t>H18</t>
        </is>
      </c>
      <c r="B19" s="20" t="inlineStr">
        <is>
          <t>Benaderingen</t>
        </is>
      </c>
      <c r="C19" s="20" t="inlineStr">
        <is>
          <t>Voor lokale energiesystemen bestaan drie modelbenaderingen naast elkaar: agent-based (HOLON), systeembeschrijving (ESDL/ETM) en optimalisatie (Energy Hub Optimizer, SYMPHONIE). De uitkomsten zijn daardoor moeilijk vergelijkbaar.</t>
        </is>
      </c>
      <c r="D19" s="20" t="inlineStr">
        <is>
          <t>Afgeleid uit beschrijvingen van DT-028, DT-031, DT-032, DT-033, DT-059 en DT-063.</t>
        </is>
      </c>
      <c r="E19" s="20" t="inlineStr">
        <is>
          <t>DT-028, DT-031, DT-032, DT-033, DT-059, DT-063, DT-064</t>
        </is>
      </c>
      <c r="F19" s="20" t="inlineStr">
        <is>
          <t>Midden</t>
        </is>
      </c>
    </row>
    <row r="20" ht="55.2" customHeight="1" s="15">
      <c r="A20" s="20" t="inlineStr">
        <is>
          <t>H19</t>
        </is>
      </c>
      <c r="B20" s="20" t="inlineStr">
        <is>
          <t>Benaderingen</t>
        </is>
      </c>
      <c r="C20" s="20" t="inlineStr">
        <is>
          <t>Voor datadeling zijn er drie routes: afsprakenstelsel (Het Normo, DSGO), dataspace-connector (CEEDS, FIWARE, SAGE) en bilaterale integratie in een platform. Nederlandse twins gebruiken vooral de laatste.</t>
        </is>
      </c>
      <c r="D20" s="20" t="inlineStr">
        <is>
          <t>Afgeleid; alleen DT-008, DT-081 en DT-088 noemen iSHARE. Europese initiatieven noemen dataspaces (DT-068, DT-108, DT-114).</t>
        </is>
      </c>
      <c r="E20" s="20" t="inlineStr">
        <is>
          <t>DT-066, DT-008, DT-068, DT-108, DT-114, DT-088, DT-009</t>
        </is>
      </c>
      <c r="F20" s="20" t="inlineStr">
        <is>
          <t>Laag</t>
        </is>
      </c>
    </row>
    <row r="21" ht="41.75" customHeight="1" s="15">
      <c r="A21" s="20" t="inlineStr">
        <is>
          <t>H20</t>
        </is>
      </c>
      <c r="B21" s="20" t="inlineStr">
        <is>
          <t>Afhankelijkheden</t>
        </is>
      </c>
      <c r="C21" s="20" t="inlineStr">
        <is>
          <t>Bijna alle Energie + GO-twins zijn afhankelijk van netbeheerdersdata op LS/MS-niveau. De beschikbaarheid daarvan (via Het Normo en het Energie Dataportaal) bepaalt het tempo.</t>
        </is>
      </c>
      <c r="D21" s="20" t="inlineStr">
        <is>
          <t>Afgeleid uit DT-044, DT-049, DT-057, DT-088 en de roadmap DT-067.</t>
        </is>
      </c>
      <c r="E21" s="20" t="inlineStr">
        <is>
          <t>DT-044, DT-049, DT-057, DT-088, DT-066, DT-067, DT-025</t>
        </is>
      </c>
      <c r="F21" s="20" t="inlineStr">
        <is>
          <t>Midden</t>
        </is>
      </c>
    </row>
    <row r="22" ht="55.2" customHeight="1" s="15">
      <c r="A22" s="20" t="inlineStr">
        <is>
          <t>H21</t>
        </is>
      </c>
      <c r="B22" s="20" t="inlineStr">
        <is>
          <t>Afhankelijkheden</t>
        </is>
      </c>
      <c r="C22" s="20" t="inlineStr">
        <is>
          <t>Kennis en continuïteit van veel Nederlandse twins liggen bij een klein aantal leveranciers.</t>
        </is>
      </c>
      <c r="D22" s="20" t="inlineStr">
        <is>
          <t>Argaleo bij 3 initiatieven (DT-034, DT-052, DT-053), Esri bij 2 (DT-040, DT-049), Gradyent bij 3 (DT-028, DT-029, DT-042), ZEnMo bij 2 (DT-031, DT-032), Siemens bij 2 (DT-014, DT-035), Technolution bij 3 (DT-025, DT-060, DT-079).</t>
        </is>
      </c>
      <c r="E22" s="20" t="inlineStr">
        <is>
          <t>DT-034, DT-052, DT-053, DT-040, DT-049, DT-028, DT-029, DT-042, DT-031, DT-032, DT-025, DT-060, DT-079</t>
        </is>
      </c>
      <c r="F22" s="20" t="inlineStr">
        <is>
          <t>Midden</t>
        </is>
      </c>
    </row>
    <row r="23" ht="41.75" customHeight="1" s="15">
      <c r="A23" s="20" t="inlineStr">
        <is>
          <t>H22</t>
        </is>
      </c>
      <c r="B23" s="20" t="inlineStr">
        <is>
          <t>Afhankelijkheden</t>
        </is>
      </c>
      <c r="C23" s="20" t="inlineStr">
        <is>
          <t>Twins zijn afhankelijk van projectfinanciering. Na afloop is vaak onduidelijk wie de twin beheert.</t>
        </is>
      </c>
      <c r="D23" s="20" t="inlineStr">
        <is>
          <t>20 van 146 initiatieven zijn afgerond, historisch of opgegaan in een ander initiatief; bij de meeste is geen beheerder of vervolg vastgesteld.</t>
        </is>
      </c>
      <c r="E23" s="20" t="inlineStr">
        <is>
          <t>DT-016, DT-023, DT-024, DT-029, DT-056, DT-058, DT-078, DT-079, DT-105, DT-106</t>
        </is>
      </c>
      <c r="F23" s="20" t="inlineStr">
        <is>
          <t>Hoog</t>
        </is>
      </c>
    </row>
    <row r="24" ht="41.75" customHeight="1" s="15">
      <c r="A24" s="20" t="inlineStr">
        <is>
          <t>H23</t>
        </is>
      </c>
      <c r="B24" s="20" t="inlineStr">
        <is>
          <t>Afhankelijkheden</t>
        </is>
      </c>
      <c r="C24" s="20" t="inlineStr">
        <is>
          <t>De Nationale Faciliteit is afhankelijk van data en modellen van TenneT en de regionale netbeheerders en van de kennis uit de KIC; de governance daarvan is nog niet zichtbaar.</t>
        </is>
      </c>
      <c r="D24" s="20" t="inlineStr">
        <is>
          <t>DT-012 is aangekondigd in juni 2026; KIC DT-013 start pas na toekenning (volledige aanvraag 8-9-2026, besluit januari 2027). De call legt vast dat DT-013-resultaten in DT-012 terechtkomen, maar niet hoe.</t>
        </is>
      </c>
      <c r="E24" s="20" t="inlineStr">
        <is>
          <t>DT-012, DT-013, DT-015, DT-037, DT-038</t>
        </is>
      </c>
      <c r="F24" s="20" t="inlineStr">
        <is>
          <t>Laag</t>
        </is>
      </c>
    </row>
    <row r="25" ht="82.05" customHeight="1" s="15">
      <c r="A25" s="20" t="inlineStr">
        <is>
          <t>H24</t>
        </is>
      </c>
      <c r="B25" s="20" t="inlineStr">
        <is>
          <t>Witte vlekken</t>
        </is>
      </c>
      <c r="C25" s="20" t="inlineStr">
        <is>
          <t>De kern van een tweeling (synchronisatie, validatie, modelregister) is in geen van de Nederlandse kaders belegd.</t>
        </is>
      </c>
      <c r="D25" s="20" t="inlineStr">
        <is>
          <t>Mapping in bijlage A.4.3: NEDRA en ADE beschrijven data-uitwisseling en bouwblokken, niet wat een twin tot twin maakt. ADE-actie 4.1.2 beperkt de referentiearchitectuur tot data-uitwisseling, niet functionaliteiten.</t>
        </is>
      </c>
      <c r="E25" s="20" t="inlineStr">
        <is>
          <t>DT-002, DT-003, DT-006</t>
        </is>
      </c>
      <c r="F25" s="20" t="inlineStr">
        <is>
          <t>Midden</t>
        </is>
      </c>
    </row>
    <row r="26" ht="82.05" customHeight="1" s="15">
      <c r="A26" s="20" t="inlineStr">
        <is>
          <t>H25</t>
        </is>
      </c>
      <c r="B26" s="20" t="inlineStr">
        <is>
          <t>Witte vlekken</t>
        </is>
      </c>
      <c r="C26" s="20" t="inlineStr">
        <is>
          <t>Er is geen Nederlandse twin die gas, waterstof, warmte en elektriciteit op regionaal of nationaal niveau koppelt; multi-commodity komt alleen lokaal, in labs of als voornemen voor. ORTESE heeft die ambitie op regionale schaal; de nationale beleidskaders blijven elektriciteit.</t>
        </is>
      </c>
      <c r="D26" s="20" t="inlineStr">
        <is>
          <t>Multi-commodity bij DT-028, DT-016, DT-026, DT-059, DT-060, DT-062 en Gasunie AGMS (DT-039). ORTESE wil volgens de projectpagina van Witteveen+Bos meerdere multi-commodity energiehubs realiseren. De ADE beperkt zich tot elektriciteit (andere dragers alleen via de interface) en de Nationale Faciliteit (DT-012) ook.</t>
        </is>
      </c>
      <c r="E26" s="20" t="inlineStr">
        <is>
          <t>DT-028, DT-016, DT-022, DT-023, DT-026, DT-039, DT-059, DT-060, DT-012, DT-062</t>
        </is>
      </c>
      <c r="F26" s="20" t="inlineStr">
        <is>
          <t>Midden</t>
        </is>
      </c>
    </row>
    <row r="27" ht="28.35" customHeight="1" s="15">
      <c r="A27" s="20" t="inlineStr">
        <is>
          <t>H26</t>
        </is>
      </c>
      <c r="B27" s="20" t="inlineStr">
        <is>
          <t>Witte vlekken</t>
        </is>
      </c>
      <c r="C27" s="20" t="inlineStr">
        <is>
          <t>Bewoners en eindgebruikers spelen in energietwins zelden een rol; participatie is vooral een GO-functie.</t>
        </is>
      </c>
      <c r="D27" s="20" t="inlineStr">
        <is>
          <t>Consumentgericht alleen TwinERGY (DT-105, afgerond) en Joule4Joule (DT-057); de Rathenau-casus De Peel (DT-094) wijst op het belang.</t>
        </is>
      </c>
      <c r="E27" s="20" t="inlineStr">
        <is>
          <t>DT-105, DT-057, DT-094, DT-047</t>
        </is>
      </c>
      <c r="F27" s="20" t="inlineStr">
        <is>
          <t>Laag</t>
        </is>
      </c>
    </row>
    <row r="28" ht="68.65000000000001" customHeight="1" s="15">
      <c r="A28" s="20" t="inlineStr">
        <is>
          <t>H27</t>
        </is>
      </c>
      <c r="B28" s="20" t="inlineStr">
        <is>
          <t>Witte vlekken</t>
        </is>
      </c>
      <c r="C28" s="20" t="inlineStr">
        <is>
          <t>Er is in het energiedomein geen toets op betrouwbaarheid of herbruikbaarheid van twins voor investerings- en beleidsbesluiten. In de gebouwde omgeving is er een voorstel (accreditatie via de DDTAS), in energie alleen eisen per twin.</t>
        </is>
      </c>
      <c r="D28" s="20" t="inlineStr">
        <is>
          <t>DDTAS (DT-092) stelt trustcriteria en accreditatie door TO2-instellingen voor; NESO Common Framework en ENTSO-E-niveaus zijn internationaal het dichtst in de buurt.</t>
        </is>
      </c>
      <c r="E28" s="20" t="inlineStr">
        <is>
          <t>DT-130, DT-099, DT-003, DT-092</t>
        </is>
      </c>
      <c r="F28" s="20" t="inlineStr">
        <is>
          <t>Midden</t>
        </is>
      </c>
    </row>
    <row r="29" ht="55.2" customHeight="1" s="15">
      <c r="A29" s="20" t="inlineStr">
        <is>
          <t>H28</t>
        </is>
      </c>
      <c r="B29" s="20" t="inlineStr">
        <is>
          <t>Witte vlekken</t>
        </is>
      </c>
      <c r="C29" s="20" t="inlineStr">
        <is>
          <t>Het energiedomein is niet aangesloten op de interdepartementale afstemming van data-ecosystemen. Twins die energie en gebouwde omgeving koppelen moeten daardoor meerdere trust- en identiteitsfamilies overbruggen.</t>
        </is>
      </c>
      <c r="D29" s="20" t="inlineStr">
        <is>
          <t>De CDO-inventarisatie (DT-096) bevat tien data-ecosystemen, waaronder DMI, DSGO, NGII/ZoN en FDS, maar niet Het Normo of het energiedata-ecosysteem uit ADE-actie 1.2.1. iSHARE (DSGO, DMI), FSC (FDS) en het afsprakenstelsel van Het Normo bestaan naast elkaar.</t>
        </is>
      </c>
      <c r="E29" s="20" t="inlineStr">
        <is>
          <t>DT-096, DT-011, DT-084, DT-085, DT-066, DT-008, DT-088</t>
        </is>
      </c>
      <c r="F29" s="20" t="inlineStr">
        <is>
          <t>Midden</t>
        </is>
      </c>
    </row>
    <row r="30">
      <c r="A30" s="20" t="inlineStr">
        <is>
          <t>H29</t>
        </is>
      </c>
      <c r="B30" s="20" t="inlineStr">
        <is>
          <t>Benaderingen</t>
        </is>
      </c>
      <c r="C30" s="20" t="inlineStr">
        <is>
          <t>Holarchie kan lokale twins (woning, wijk, bedrijventerrein, hub) en de nationale systeemtwin verbinden zonder één centraal model: elke twin modelleert en balanceert eerst zijn eigen geheel en wisselt via vaste interfaces een samengevatte toestand en flexibiliteit uit met het niveau erboven.</t>
        </is>
      </c>
      <c r="D30" s="20" t="inlineStr">
        <is>
          <t>HOLON (DT-146) past holarchie toe op lokale energiesystemen; het model draait in DT-031 en DT-032. Rehtanz e.a. (2024) stellen holonische structuren voor als ICT-architectuur voor netautomatisering en flexibiliteit. De W3C Holon Graph Community Group (2026) werkt holons uit als named graphs met grenzen en projecties. Zerbst (2026) noemt een gedeelde semantische laag een voorwaarde voor bruikbare twins. Geen twin in het register is expliciet als holarchie opgezet.</t>
        </is>
      </c>
      <c r="E30" s="20" t="inlineStr">
        <is>
          <t>DT-146, DT-031, DT-032, DT-012, DT-099, DT-009</t>
        </is>
      </c>
      <c r="F30" s="20" t="inlineStr">
        <is>
          <t>Laag</t>
        </is>
      </c>
    </row>
  </sheetData>
  <autoFilter ref="A1:F2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20"/>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1" customWidth="1" style="14" min="1" max="1"/>
    <col width="46" customWidth="1" style="14" min="2" max="2"/>
    <col width="20" customWidth="1" style="14" min="3" max="3"/>
    <col width="34" customWidth="1" style="14" min="4" max="4"/>
    <col width="12" customWidth="1" style="14" min="5" max="5"/>
    <col width="60" customWidth="1" style="14" min="6" max="6"/>
    <col width="14" customWidth="1" style="14" min="7" max="7"/>
    <col width="50" customWidth="1" style="14" min="8" max="8"/>
  </cols>
  <sheetData>
    <row r="1" ht="31.5" customHeight="1" s="15">
      <c r="A1" s="21" t="inlineStr">
        <is>
          <t>Code</t>
        </is>
      </c>
      <c r="B1" s="21" t="inlineStr">
        <is>
          <t>Kader</t>
        </is>
      </c>
      <c r="C1" s="21" t="inlineStr">
        <is>
          <t>Type</t>
        </is>
      </c>
      <c r="D1" s="21" t="inlineStr">
        <is>
          <t>Eigenaar</t>
        </is>
      </c>
      <c r="E1" s="21" t="inlineStr">
        <is>
          <t>Niveau</t>
        </is>
      </c>
      <c r="F1" s="21" t="inlineStr">
        <is>
          <t>Wat het zegt over digital twins</t>
        </is>
      </c>
      <c r="G1" s="21" t="inlineStr">
        <is>
          <t>Aantal gekoppelde initiatieven</t>
        </is>
      </c>
      <c r="H1" s="21" t="inlineStr">
        <is>
          <t>Bron</t>
        </is>
      </c>
    </row>
    <row r="2" ht="41.75" customHeight="1" s="15">
      <c r="A2" s="20" t="inlineStr">
        <is>
          <t>NPE</t>
        </is>
      </c>
      <c r="B2" s="20" t="inlineStr">
        <is>
          <t>Nationaal Plan Energiesysteem (actualisatie 2026)</t>
        </is>
      </c>
      <c r="C2" s="20" t="inlineStr">
        <is>
          <t>Beleid</t>
        </is>
      </c>
      <c r="D2" s="20" t="inlineStr">
        <is>
          <t>Ministerie EZK/KGG</t>
        </is>
      </c>
      <c r="E2" s="20" t="inlineStr">
        <is>
          <t>NL</t>
        </is>
      </c>
      <c r="F2" s="20" t="inlineStr">
        <is>
          <t>Innovatie als randvoorwaarde voor netcongestie, weerbaarheid en autonomie; twins niet specifiek genoemd (te verifiëren in volledige tekst)</t>
        </is>
      </c>
      <c r="G2" s="20">
        <f>COUNTIF(Portfolio!$P$2:$P$500,"*"&amp;A2&amp;"*")</f>
        <v/>
      </c>
      <c r="H2" s="20" t="inlineStr">
        <is>
          <t>https://energy-innovation.nl/nl/nieuws/uitdagingen-energiesysteem-vragen-om-gerichte-inzet-van-innovatie/</t>
        </is>
      </c>
    </row>
    <row r="3" ht="55.2" customHeight="1" s="15">
      <c r="A3" s="20" t="inlineStr">
        <is>
          <t>ADE</t>
        </is>
      </c>
      <c r="B3" s="20" t="inlineStr">
        <is>
          <t>Actieagenda Digitalisering Energiesysteem</t>
        </is>
      </c>
      <c r="C3" s="20" t="inlineStr">
        <is>
          <t>Beleid / programma</t>
        </is>
      </c>
      <c r="D3" s="20" t="inlineStr">
        <is>
          <t>KGG, TNO; programmaregie Energy Innovation NL</t>
        </is>
      </c>
      <c r="E3" s="20" t="inlineStr">
        <is>
          <t>NL</t>
        </is>
      </c>
      <c r="F3" s="20" t="inlineStr">
        <is>
          <t>Actie 1.1.3 'Ontwikkel een digital twin van het elektriciteitssysteem'; twins bij planning (thema 5); 4.1.2 referentiearchitectuur (alleen data-uitwisseling); 1.1.4 eisen aan simulatie-tooling; 5.1.1 planningsmodellen; scope alleen elektriciteit</t>
        </is>
      </c>
      <c r="G3" s="20">
        <f>COUNTIF(Portfolio!$P$2:$P$500,"*"&amp;A3&amp;"*")</f>
        <v/>
      </c>
      <c r="H3" s="20" t="inlineStr">
        <is>
          <t>https://www.tno.nl/nl/newsroom/2025/12/overheid-tno-topsector-energie-lanceren/</t>
        </is>
      </c>
    </row>
    <row r="4" ht="55.2" customHeight="1" s="15">
      <c r="A4" s="20" t="inlineStr">
        <is>
          <t>NEDRA</t>
        </is>
      </c>
      <c r="B4" s="20" t="inlineStr">
        <is>
          <t>Nederlandse Energie Domein Referentie Architectuur</t>
        </is>
      </c>
      <c r="C4" s="20" t="inlineStr">
        <is>
          <t>Architectuur</t>
        </is>
      </c>
      <c r="D4" s="20" t="inlineStr">
        <is>
          <t>Energy Innovation NL (Topsector Energie)</t>
        </is>
      </c>
      <c r="E4" s="20" t="inlineStr">
        <is>
          <t>NL</t>
        </is>
      </c>
      <c r="F4" s="20" t="inlineStr">
        <is>
          <t>Digital twin als componentbouwblok; ORTESE uitgewerkt als praktijkcase (klantreis, waardeketen, bouwblokken, rollen, afspraken); koppelt aan 12+ modellen (NBility, USEF, SGAM, OpenADR, EFI/S2, HEMRM, LEAP, MSRA, DATA-X, GAIA-X, OMEGA-X)</t>
        </is>
      </c>
      <c r="G4" s="20">
        <f>COUNTIF(Portfolio!$P$2:$P$500,"*"&amp;A4&amp;"*")</f>
        <v/>
      </c>
      <c r="H4" s="20" t="inlineStr">
        <is>
          <t>https://energy-innovation.nl/nl/projecten/bouwen-aan-een-robuuste-referentiearchitectuur-voor-de-energiesector/</t>
        </is>
      </c>
    </row>
    <row r="5" ht="41.75" customHeight="1" s="15">
      <c r="A5" s="20" t="inlineStr">
        <is>
          <t>NLDT</t>
        </is>
      </c>
      <c r="B5" s="20" t="inlineStr">
        <is>
          <t>Programma Digitale Tweeling / NLDT-architectuur (nLDT)</t>
        </is>
      </c>
      <c r="C5" s="20" t="inlineStr">
        <is>
          <t>Architectuur / programma</t>
        </is>
      </c>
      <c r="D5" s="20" t="inlineStr">
        <is>
          <t>Zicht op Nederland (BZK), Geonovum, VNG, Kadaster</t>
        </is>
      </c>
      <c r="E5" s="20" t="inlineStr">
        <is>
          <t>NL</t>
        </is>
      </c>
      <c r="F5" s="20" t="inlineStr">
        <is>
          <t>Federatie van lokale twins; data, rekenmodel en visualisatie ontkoppeld; energie was al in 2021 benoemd als dataspace ('DT Energie') in het nDTFL-voorstel</t>
        </is>
      </c>
      <c r="G5" s="20">
        <f>COUNTIF(Portfolio!$P$2:$P$500,"*"&amp;A5&amp;"*")</f>
        <v/>
      </c>
      <c r="H5" s="20" t="inlineStr">
        <is>
          <t>https://geonovum.github.io/NLDT-Architectuur/</t>
        </is>
      </c>
    </row>
    <row r="6" ht="28.35" customHeight="1" s="15">
      <c r="A6" s="20" t="inlineStr">
        <is>
          <t>DSGO</t>
        </is>
      </c>
      <c r="B6" s="20" t="inlineStr">
        <is>
          <t>Digitaal Stelsel Gebouwde Omgeving</t>
        </is>
      </c>
      <c r="C6" s="20" t="inlineStr">
        <is>
          <t>Afsprakenstelsel</t>
        </is>
      </c>
      <c r="D6" s="20" t="inlineStr">
        <is>
          <t>digiGO</t>
        </is>
      </c>
      <c r="E6" s="20" t="inlineStr">
        <is>
          <t>NL</t>
        </is>
      </c>
      <c r="F6" s="20" t="inlineStr">
        <is>
          <t>Afspraken en federatieve componenten voor gebouwdata; inventarisatie federatieve componenten digitale tweeling (2022)</t>
        </is>
      </c>
      <c r="G6" s="20">
        <f>COUNTIF(Portfolio!$P$2:$P$500,"*"&amp;A6&amp;"*")</f>
        <v/>
      </c>
      <c r="H6" s="20" t="inlineStr">
        <is>
          <t>https://www.digigo.nu/afsprakenstelsel/</t>
        </is>
      </c>
    </row>
    <row r="7" ht="28.35" customHeight="1" s="15">
      <c r="A7" s="20" t="inlineStr">
        <is>
          <t>HETNORMO</t>
        </is>
      </c>
      <c r="B7" s="20" t="inlineStr">
        <is>
          <t>Afsprakenstelsel energiedata (Het Normo, Energiewet)</t>
        </is>
      </c>
      <c r="C7" s="20" t="inlineStr">
        <is>
          <t>Afsprakenstelsel</t>
        </is>
      </c>
      <c r="D7" s="20" t="inlineStr">
        <is>
          <t>Het Normo (GUE sinds 1-1-2026)</t>
        </is>
      </c>
      <c r="E7" s="20" t="inlineStr">
        <is>
          <t>NL</t>
        </is>
      </c>
      <c r="F7" s="20" t="inlineStr">
        <is>
          <t>Datalaag en toegang voor twins; roadmap dataproducten noemt twins niet</t>
        </is>
      </c>
      <c r="G7" s="20">
        <f>COUNTIF(Portfolio!$P$2:$P$500,"*"&amp;A7&amp;"*")</f>
        <v/>
      </c>
      <c r="H7" s="20" t="inlineStr">
        <is>
          <t>https://data-governance-2026.reports.energiedata.nl/initiatieven-data-delen.html</t>
        </is>
      </c>
    </row>
    <row r="8" ht="41.75" customHeight="1" s="15">
      <c r="A8" s="20" t="inlineStr">
        <is>
          <t>TSE-INNOV</t>
        </is>
      </c>
      <c r="B8" s="20" t="inlineStr">
        <is>
          <t>NL innovatie-instrumentarium (MOOI, KIC, Systeemintegratie, energiehubs, Nationaal Groeifonds)</t>
        </is>
      </c>
      <c r="C8" s="20" t="inlineStr">
        <is>
          <t>Financiering / programma</t>
        </is>
      </c>
      <c r="D8" s="20" t="inlineStr">
        <is>
          <t>RVO, NWO, Energy Innovation NL</t>
        </is>
      </c>
      <c r="E8" s="20" t="inlineStr">
        <is>
          <t>NL</t>
        </is>
      </c>
      <c r="F8" s="20" t="inlineStr">
        <is>
          <t>Financiert R&amp;D en demonstraties; herbruikbaarheid nog geen voorwaarde</t>
        </is>
      </c>
      <c r="G8" s="20">
        <f>COUNTIF(Portfolio!$P$2:$P$500,"*"&amp;A8&amp;"*")</f>
        <v/>
      </c>
      <c r="H8" s="20" t="inlineStr">
        <is>
          <t>https://energy-innovation.nl/nl/nieuws/nwo-kic-call-ontgrendel-de-kracht-van-de-digital-twin-voor-netbeheerders/</t>
        </is>
      </c>
    </row>
    <row r="9" ht="41.75" customHeight="1" s="15">
      <c r="A9" s="20" t="inlineStr">
        <is>
          <t>SGAM</t>
        </is>
      </c>
      <c r="B9" s="20" t="inlineStr">
        <is>
          <t>Smart Grid Architecture Model</t>
        </is>
      </c>
      <c r="C9" s="20" t="inlineStr">
        <is>
          <t>Architectuur</t>
        </is>
      </c>
      <c r="D9" s="20" t="inlineStr">
        <is>
          <t>CEN-CENELEC-ETSI</t>
        </is>
      </c>
      <c r="E9" s="20" t="inlineStr">
        <is>
          <t>EU</t>
        </is>
      </c>
      <c r="F9" s="20" t="inlineStr">
        <is>
          <t>Referentiemodel (domeinen, zones, interoperabiliteitslagen) om twin-componenten te positioneren</t>
        </is>
      </c>
      <c r="G9" s="20">
        <f>COUNTIF(Portfolio!$P$2:$P$500,"*"&amp;A9&amp;"*")</f>
        <v/>
      </c>
      <c r="H9" s="20" t="inlineStr">
        <is>
          <t>https://referentiearchitectuurtopsectorenergie.github.io/NEDRA/detail/afstemming/modellen/index.html</t>
        </is>
      </c>
    </row>
    <row r="10" ht="41.75" customHeight="1" s="15">
      <c r="A10" s="20" t="inlineStr">
        <is>
          <t>EU-AP22</t>
        </is>
      </c>
      <c r="B10" s="20" t="inlineStr">
        <is>
          <t>EU Actieplan Digitalisering Energiesysteem (2022)</t>
        </is>
      </c>
      <c r="C10" s="20" t="inlineStr">
        <is>
          <t>Beleid</t>
        </is>
      </c>
      <c r="D10" s="20" t="inlineStr">
        <is>
          <t>Europese Commissie</t>
        </is>
      </c>
      <c r="E10" s="20" t="inlineStr">
        <is>
          <t>EU</t>
        </is>
      </c>
      <c r="F10" s="20" t="inlineStr">
        <is>
          <t>Grondslag voor de digitale tweeling van het Europese elektriciteitsnet (ENTSO-E/DSO Entity)</t>
        </is>
      </c>
      <c r="G10" s="20">
        <f>COUNTIF(Portfolio!$P$2:$P$500,"*"&amp;A10&amp;"*")</f>
        <v/>
      </c>
      <c r="H10" s="20" t="inlineStr">
        <is>
          <t>https://energy.ec.europa.eu/news/commission-welcomes-cooperation-between-entso-e-and-eu-dso-entity-digital-electricity-grid-twin-2022-12-20_en</t>
        </is>
      </c>
    </row>
    <row r="11" ht="41.75" customHeight="1" s="15">
      <c r="A11" s="20" t="inlineStr">
        <is>
          <t>EU-RM26</t>
        </is>
      </c>
      <c r="B11" s="20" t="inlineStr">
        <is>
          <t>EU Strategic Roadmap for Digitalisation and AI in Energy (juni 2026)</t>
        </is>
      </c>
      <c r="C11" s="20" t="inlineStr">
        <is>
          <t>Beleid</t>
        </is>
      </c>
      <c r="D11" s="20" t="inlineStr">
        <is>
          <t>Europese Commissie</t>
        </is>
      </c>
      <c r="E11" s="20" t="inlineStr">
        <is>
          <t>EU</t>
        </is>
      </c>
      <c r="F11" s="20" t="inlineStr">
        <is>
          <t>Actie 3: digital twin toolbox-blauwdruk ENTSO-E/DSO Entity medio 2026, best practices 2027</t>
        </is>
      </c>
      <c r="G11" s="20">
        <f>COUNTIF(Portfolio!$P$2:$P$500,"*"&amp;A11&amp;"*")</f>
        <v/>
      </c>
      <c r="H11" s="20" t="inlineStr">
        <is>
          <t>https://energy.ec.europa.eu/news/commission-presents-measures-digitalise-europes-energy-system-while-ensuring-sustainable-2026-06-03_en</t>
        </is>
      </c>
    </row>
    <row r="12" ht="28.35" customHeight="1" s="15">
      <c r="A12" s="20" t="inlineStr">
        <is>
          <t>ENTSOE</t>
        </is>
      </c>
      <c r="B12" s="20" t="inlineStr">
        <is>
          <t>ENTSO-E / EU DSO Entity: TSO-DSO use cases en 'Towards a Federated Approach'</t>
        </is>
      </c>
      <c r="C12" s="20" t="inlineStr">
        <is>
          <t>Architectuur / samenwerking</t>
        </is>
      </c>
      <c r="D12" s="20" t="inlineStr">
        <is>
          <t>ENTSO-E, EU DSO Entity</t>
        </is>
      </c>
      <c r="E12" s="20" t="inlineStr">
        <is>
          <t>EU</t>
        </is>
      </c>
      <c r="F12" s="20" t="inlineStr">
        <is>
          <t>Vier gezamenlijke use cases; federatieprincipes; vijf volwassenheidsniveaus; vijfstappenroute</t>
        </is>
      </c>
      <c r="G12" s="20">
        <f>COUNTIF(Portfolio!$P$2:$P$500,"*"&amp;A12&amp;"*")</f>
        <v/>
      </c>
      <c r="H12" s="20" t="inlineStr">
        <is>
          <t>https://www.entsoe.eu/news/2026/01/30/joint-report-on-tso-dso-digital-twin-use-cases/</t>
        </is>
      </c>
    </row>
    <row r="13" ht="28.35" customHeight="1" s="15">
      <c r="A13" s="20" t="inlineStr">
        <is>
          <t>CEEDS</t>
        </is>
      </c>
      <c r="B13" s="20" t="inlineStr">
        <is>
          <t>Common European Energy Data Space</t>
        </is>
      </c>
      <c r="C13" s="20" t="inlineStr">
        <is>
          <t>Data-infrastructuur</t>
        </is>
      </c>
      <c r="D13" s="20" t="inlineStr">
        <is>
          <t>Europese Commissie; D4E-expertgroep</t>
        </is>
      </c>
      <c r="E13" s="20" t="inlineStr">
        <is>
          <t>EU</t>
        </is>
      </c>
      <c r="F13" s="20" t="inlineStr">
        <is>
          <t>Datalaag onder Europese energie-twins (TwinEU koppelt eraan)</t>
        </is>
      </c>
      <c r="G13" s="20">
        <f>COUNTIF(Portfolio!$P$2:$P$500,"*"&amp;A13&amp;"*")</f>
        <v/>
      </c>
      <c r="H13" s="20" t="inlineStr">
        <is>
          <t>https://digital-strategy.ec.europa.eu/en/policies/digitalisation-energy</t>
        </is>
      </c>
    </row>
    <row r="14" ht="28.35" customHeight="1" s="15">
      <c r="A14" s="20" t="inlineStr">
        <is>
          <t>HORIZON</t>
        </is>
      </c>
      <c r="B14" s="20" t="inlineStr">
        <is>
          <t>Horizon 2020 / Horizon Europe (incl. BRIDGE-cluster)</t>
        </is>
      </c>
      <c r="C14" s="20" t="inlineStr">
        <is>
          <t>Financiering / onderzoek</t>
        </is>
      </c>
      <c r="D14" s="20" t="inlineStr">
        <is>
          <t>Europese Commissie, CINEA</t>
        </is>
      </c>
      <c r="E14" s="20" t="inlineStr">
        <is>
          <t>EU</t>
        </is>
      </c>
      <c r="F14" s="20" t="inlineStr">
        <is>
          <t>Financiert twin-R&amp;D: TwinEU, AI-EFFECT, GRID-PRO, TwinERGY, BUILDSPACE, ExPEDite, Enershare, SYNERGIES</t>
        </is>
      </c>
      <c r="G14" s="20">
        <f>COUNTIF(Portfolio!$P$2:$P$500,"*"&amp;A14&amp;"*")</f>
        <v/>
      </c>
      <c r="H14" s="20" t="inlineStr">
        <is>
          <t>https://bridge-smart-grid-storage-systems-digital-projects.ec.europa.eu</t>
        </is>
      </c>
    </row>
    <row r="15" ht="28.35" customHeight="1" s="15">
      <c r="A15" s="20" t="inlineStr">
        <is>
          <t>EU-LDT</t>
        </is>
      </c>
      <c r="B15" s="20" t="inlineStr">
        <is>
          <t>EU Local Digital Twins (LDT CitiVERSE EDIC, LDT-toolbox, MIMs Plus)</t>
        </is>
      </c>
      <c r="C15" s="20" t="inlineStr">
        <is>
          <t>Architectuur / samenwerking</t>
        </is>
      </c>
      <c r="D15" s="20" t="inlineStr">
        <is>
          <t>Europese Commissie, EDIC (15 lidstaten), OASC</t>
        </is>
      </c>
      <c r="E15" s="20" t="inlineStr">
        <is>
          <t>EU</t>
        </is>
      </c>
      <c r="F15" s="20" t="inlineStr">
        <is>
          <t>Europese aansluitvoorwaarden voor stedelijke en lokale twins</t>
        </is>
      </c>
      <c r="G15" s="20">
        <f>COUNTIF(Portfolio!$P$2:$P$500,"*"&amp;A15&amp;"*")</f>
        <v/>
      </c>
      <c r="H15" s="20" t="inlineStr">
        <is>
          <t>https://ldtcitiverse-edic.eu/</t>
        </is>
      </c>
    </row>
    <row r="16" ht="28.35" customHeight="1" s="15">
      <c r="A16" s="20" t="inlineStr">
        <is>
          <t>DESTINE</t>
        </is>
      </c>
      <c r="B16" s="20" t="inlineStr">
        <is>
          <t>Destination Earth</t>
        </is>
      </c>
      <c r="C16" s="20" t="inlineStr">
        <is>
          <t>Faciliteit</t>
        </is>
      </c>
      <c r="D16" s="20" t="inlineStr">
        <is>
          <t>ECMWF, EUMETSAT, ESA</t>
        </is>
      </c>
      <c r="E16" s="20" t="inlineStr">
        <is>
          <t>EU</t>
        </is>
      </c>
      <c r="F16" s="20" t="inlineStr">
        <is>
          <t>Klimaat- en weertwins; data gebruikt in netplanning (TenneT)</t>
        </is>
      </c>
      <c r="G16" s="20">
        <f>COUNTIF(Portfolio!$P$2:$P$500,"*"&amp;A16&amp;"*")</f>
        <v/>
      </c>
      <c r="H16" s="20" t="inlineStr">
        <is>
          <t>https://www.ecmwf.int/en/about/media-centre/news/2026/destination-earth-moves-its-third-phase</t>
        </is>
      </c>
    </row>
    <row r="17" ht="28.35" customHeight="1" s="15">
      <c r="A17" s="20" t="inlineStr">
        <is>
          <t>LFE</t>
        </is>
      </c>
      <c r="B17" s="20" t="inlineStr">
        <is>
          <t>LF Energy</t>
        </is>
      </c>
      <c r="C17" s="20" t="inlineStr">
        <is>
          <t>Open source</t>
        </is>
      </c>
      <c r="D17" s="20" t="inlineStr">
        <is>
          <t>Linux Foundation</t>
        </is>
      </c>
      <c r="E17" s="20" t="inlineStr">
        <is>
          <t>Internationaal</t>
        </is>
      </c>
      <c r="F17" s="20" t="inlineStr">
        <is>
          <t>Open-source bouwstenen voor netmodel, berekening, simulatie en semantiek (41 projecten); term 'digital twin' niet gebruikt</t>
        </is>
      </c>
      <c r="G17" s="20">
        <f>COUNTIF(Portfolio!$P$2:$P$500,"*"&amp;A17&amp;"*")</f>
        <v/>
      </c>
      <c r="H17" s="20" t="inlineStr">
        <is>
          <t>https://lfenergy.org/our-projects</t>
        </is>
      </c>
    </row>
    <row r="18" ht="28.35" customHeight="1" s="15">
      <c r="A18" s="20" t="inlineStr">
        <is>
          <t>GEMINI</t>
        </is>
      </c>
      <c r="B18" s="20" t="inlineStr">
        <is>
          <t>Gemini Principles / UK National Digital Twin Programme</t>
        </is>
      </c>
      <c r="C18" s="20" t="inlineStr">
        <is>
          <t>Principes / programma</t>
        </is>
      </c>
      <c r="D18" s="20" t="inlineStr">
        <is>
          <t>UK (CDBB, NDTP)</t>
        </is>
      </c>
      <c r="E18" s="20" t="inlineStr">
        <is>
          <t>Internationaal</t>
        </is>
      </c>
      <c r="F18" s="20" t="inlineStr">
        <is>
          <t>Negen principes voor verbonden twins; inspiratiebron DTFL-principes; NESO VES en NDTP-demonstrators bouwen erop voort</t>
        </is>
      </c>
      <c r="G18" s="20">
        <f>COUNTIF(Portfolio!$P$2:$P$500,"*"&amp;A18&amp;"*")</f>
        <v/>
      </c>
      <c r="H18" s="20" t="inlineStr">
        <is>
          <t>https://ndtp.co.uk/</t>
        </is>
      </c>
    </row>
    <row r="19" ht="28.35" customHeight="1" s="15">
      <c r="A19" s="20" t="inlineStr">
        <is>
          <t>ISO30173</t>
        </is>
      </c>
      <c r="B19" s="20" t="inlineStr">
        <is>
          <t>ISO/IEC 30173:2023 Digital twin: Concepts and terminology</t>
        </is>
      </c>
      <c r="C19" s="20" t="inlineStr">
        <is>
          <t>Standaard</t>
        </is>
      </c>
      <c r="D19" s="20" t="inlineStr">
        <is>
          <t>ISO/IEC JTC 1</t>
        </is>
      </c>
      <c r="E19" s="20" t="inlineStr">
        <is>
          <t>Internationaal</t>
        </is>
      </c>
      <c r="F19" s="20" t="inlineStr">
        <is>
          <t>Begrippen en terminologie; basis voor begrippenkader deel A</t>
        </is>
      </c>
      <c r="G19" s="20">
        <f>COUNTIF(Portfolio!$P$2:$P$500,"*"&amp;A19&amp;"*")</f>
        <v/>
      </c>
      <c r="H19" s="20" t="inlineStr">
        <is>
          <t>https://www.iso.org/standard/81442.html</t>
        </is>
      </c>
    </row>
    <row r="20" ht="41.75" customHeight="1" s="15">
      <c r="A20" s="20" t="inlineStr">
        <is>
          <t>DSSC</t>
        </is>
      </c>
      <c r="B20" s="20" t="inlineStr">
        <is>
          <t>Data Spaces Support Centre Blueprint (technische en organisatorische bouwblokken voor data spaces)</t>
        </is>
      </c>
      <c r="C20" s="20" t="inlineStr">
        <is>
          <t>Architectuur</t>
        </is>
      </c>
      <c r="D20" s="20" t="inlineStr">
        <is>
          <t>Data Spaces Support Centre (Europese Commissie)</t>
        </is>
      </c>
      <c r="E20" s="20" t="inlineStr">
        <is>
          <t>EU</t>
        </is>
      </c>
      <c r="F20" s="20" t="inlineStr">
        <is>
          <t>Kapstok voor de federatieband: datamodellen, data-uitwisseling, herkomst, identiteit, trust framework, toegangs- en gebruiksbeleid, catalogus; basis voor EU-standaardisatie onder de Data Act</t>
        </is>
      </c>
      <c r="G20" s="20">
        <f>COUNTIF(Portfolio!$P$2:$P$500,"*"&amp;A20&amp;"*")</f>
        <v/>
      </c>
      <c r="H20" s="20" t="inlineStr">
        <is>
          <t>https://dssc.eu/</t>
        </is>
      </c>
    </row>
  </sheetData>
  <autoFilter ref="A1:H1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A1:J4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14" customWidth="1" style="14" min="1" max="1"/>
    <col width="34" customWidth="1" style="14" min="2" max="2"/>
    <col width="22" customWidth="1" style="14" min="3" max="3"/>
    <col width="20" customWidth="1" style="14" min="4" max="4"/>
    <col width="30" customWidth="1" style="14" min="5" max="5"/>
    <col width="18" customWidth="1" style="14" min="6" max="6"/>
    <col width="20" customWidth="1" style="14" min="7" max="7"/>
    <col width="46" customWidth="1" style="14" min="8" max="8"/>
    <col width="14" customWidth="1" style="14" min="9" max="9"/>
    <col width="50" customWidth="1" style="14" min="10" max="10"/>
  </cols>
  <sheetData>
    <row r="1" ht="31.5" customHeight="1" s="15">
      <c r="A1" s="21" t="inlineStr">
        <is>
          <t>Code</t>
        </is>
      </c>
      <c r="B1" s="21" t="inlineStr">
        <is>
          <t>Bouwsteen</t>
        </is>
      </c>
      <c r="C1" s="21" t="inlineStr">
        <is>
          <t>Type</t>
        </is>
      </c>
      <c r="D1" s="21" t="inlineStr">
        <is>
          <t>Laag</t>
        </is>
      </c>
      <c r="E1" s="21" t="inlineStr">
        <is>
          <t>Beheer</t>
        </is>
      </c>
      <c r="F1" s="21" t="inlineStr">
        <is>
          <t>Open source / standaard</t>
        </is>
      </c>
      <c r="G1" s="21" t="inlineStr">
        <is>
          <t>Domein</t>
        </is>
      </c>
      <c r="H1" s="21" t="inlineStr">
        <is>
          <t>Rol in een twin</t>
        </is>
      </c>
      <c r="I1" s="21" t="inlineStr">
        <is>
          <t>Aantal gekoppelde initiatieven</t>
        </is>
      </c>
      <c r="J1" s="21" t="inlineStr">
        <is>
          <t>Bron</t>
        </is>
      </c>
    </row>
    <row r="2" ht="28.35" customHeight="1" s="15">
      <c r="A2" s="20" t="inlineStr">
        <is>
          <t>BS-ESDL</t>
        </is>
      </c>
      <c r="B2" s="20" t="inlineStr">
        <is>
          <t>ESDL (+ MapEditor, ESSIM)</t>
        </is>
      </c>
      <c r="C2" s="20" t="inlineStr">
        <is>
          <t>Systeemmodel / taal</t>
        </is>
      </c>
      <c r="D2" s="20" t="inlineStr">
        <is>
          <t>Semantiek &amp; data</t>
        </is>
      </c>
      <c r="E2" s="20" t="inlineStr">
        <is>
          <t>TNO, Quintel, community</t>
        </is>
      </c>
      <c r="F2" s="20" t="inlineStr">
        <is>
          <t>Open source</t>
        </is>
      </c>
      <c r="G2" s="20" t="inlineStr">
        <is>
          <t>Energie (systeem)</t>
        </is>
      </c>
      <c r="H2" s="20" t="inlineStr">
        <is>
          <t>Integrale beschrijving energiesysteem; koppeltaal tussen modellen</t>
        </is>
      </c>
      <c r="I2" s="20">
        <f>COUNTIF(Portfolio!$Q$2:$Q$500,"*"&amp;A2&amp;"*")</f>
        <v/>
      </c>
      <c r="J2" s="20" t="inlineStr">
        <is>
          <t>https://www.esdl.nl/en/</t>
        </is>
      </c>
    </row>
    <row r="3" ht="15" customHeight="1" s="15">
      <c r="A3" s="20" t="inlineStr">
        <is>
          <t>BS-ETM</t>
        </is>
      </c>
      <c r="B3" s="20" t="inlineStr">
        <is>
          <t>Energy Transition Model</t>
        </is>
      </c>
      <c r="C3" s="20" t="inlineStr">
        <is>
          <t>Rekenmodel</t>
        </is>
      </c>
      <c r="D3" s="20" t="inlineStr">
        <is>
          <t>Rekenmodel</t>
        </is>
      </c>
      <c r="E3" s="20" t="inlineStr">
        <is>
          <t>Quintel</t>
        </is>
      </c>
      <c r="F3" s="20" t="inlineStr">
        <is>
          <t>Open source</t>
        </is>
      </c>
      <c r="G3" s="20" t="inlineStr">
        <is>
          <t>Energie (systeem)</t>
        </is>
      </c>
      <c r="H3" s="20" t="inlineStr">
        <is>
          <t>Scenarioberekening (o.a. ORTESE, RES)</t>
        </is>
      </c>
      <c r="I3" s="20">
        <f>COUNTIF(Portfolio!$Q$2:$Q$500,"*"&amp;A3&amp;"*")</f>
        <v/>
      </c>
      <c r="J3" s="20" t="inlineStr">
        <is>
          <t>https://energytransitionmodel.com/</t>
        </is>
      </c>
    </row>
    <row r="4" ht="28.35" customHeight="1" s="15">
      <c r="A4" s="20" t="inlineStr">
        <is>
          <t>BS-HOLON</t>
        </is>
      </c>
      <c r="B4" s="20" t="inlineStr">
        <is>
          <t>HOLON-model (ZEnMo)</t>
        </is>
      </c>
      <c r="C4" s="20" t="inlineStr">
        <is>
          <t>Rekenmodel</t>
        </is>
      </c>
      <c r="D4" s="20" t="inlineStr">
        <is>
          <t>Rekenmodel</t>
        </is>
      </c>
      <c r="E4" s="20" t="inlineStr">
        <is>
          <t>ZEnMo, TU/e</t>
        </is>
      </c>
      <c r="F4" s="20" t="inlineStr">
        <is>
          <t>Open source (te verifiëren)</t>
        </is>
      </c>
      <c r="G4" s="20" t="inlineStr">
        <is>
          <t>Energie (lokaal)</t>
        </is>
      </c>
      <c r="H4" s="20" t="inlineStr">
        <is>
          <t>Simulatie bedrijventerreinen en energiehubs</t>
        </is>
      </c>
      <c r="I4" s="20">
        <f>COUNTIF(Portfolio!$Q$2:$Q$500,"*"&amp;A4&amp;"*")</f>
        <v/>
      </c>
      <c r="J4" s="20" t="inlineStr">
        <is>
          <t>https://www.drechtstedenenergie.nl/digitaltwindrechtsteden</t>
        </is>
      </c>
    </row>
    <row r="5" ht="28.35" customHeight="1" s="15">
      <c r="A5" s="20" t="inlineStr">
        <is>
          <t>BS-CIM</t>
        </is>
      </c>
      <c r="B5" s="20" t="inlineStr">
        <is>
          <t>IEC CIM / CGMES</t>
        </is>
      </c>
      <c r="C5" s="20" t="inlineStr">
        <is>
          <t>Informatiemodel</t>
        </is>
      </c>
      <c r="D5" s="20" t="inlineStr">
        <is>
          <t>Semantiek &amp; data</t>
        </is>
      </c>
      <c r="E5" s="20" t="inlineStr">
        <is>
          <t>IEC TC57, ENTSO-E</t>
        </is>
      </c>
      <c r="F5" s="20" t="inlineStr">
        <is>
          <t>Open standaard</t>
        </is>
      </c>
      <c r="G5" s="20" t="inlineStr">
        <is>
          <t>Elektriciteit</t>
        </is>
      </c>
      <c r="H5" s="20" t="inlineStr">
        <is>
          <t>Netmodel, topologie en assets; basis grid-twins</t>
        </is>
      </c>
      <c r="I5" s="20">
        <f>COUNTIF(Portfolio!$Q$2:$Q$500,"*"&amp;A5&amp;"*")</f>
        <v/>
      </c>
      <c r="J5" s="20" t="inlineStr">
        <is>
          <t>https://www.entsoe.eu/data/cim/cim-for-grid-models-exchange/</t>
        </is>
      </c>
    </row>
    <row r="6" ht="15" customHeight="1" s="15">
      <c r="A6" s="20" t="inlineStr">
        <is>
          <t>BS-NBILITY</t>
        </is>
      </c>
      <c r="B6" s="20" t="inlineStr">
        <is>
          <t>NBility</t>
        </is>
      </c>
      <c r="C6" s="20" t="inlineStr">
        <is>
          <t>Bedrijfsmodel</t>
        </is>
      </c>
      <c r="D6" s="20" t="inlineStr">
        <is>
          <t>Semantiek &amp; data</t>
        </is>
      </c>
      <c r="E6" s="20" t="inlineStr">
        <is>
          <t>Netbeheer Nederland</t>
        </is>
      </c>
      <c r="F6" s="20" t="inlineStr">
        <is>
          <t>Open</t>
        </is>
      </c>
      <c r="G6" s="20" t="inlineStr">
        <is>
          <t>Elektriciteit, gas</t>
        </is>
      </c>
      <c r="H6" s="20" t="inlineStr">
        <is>
          <t>Bedrijfsobjecten netbeheer</t>
        </is>
      </c>
      <c r="I6" s="20">
        <f>COUNTIF(Portfolio!$Q$2:$Q$500,"*"&amp;A6&amp;"*")</f>
        <v/>
      </c>
      <c r="J6" s="20" t="inlineStr">
        <is>
          <t>https://nbility.netbeheernederland.nl/</t>
        </is>
      </c>
    </row>
    <row r="7" ht="15" customHeight="1" s="15">
      <c r="A7" s="20" t="inlineStr">
        <is>
          <t>BS-IEC81346</t>
        </is>
      </c>
      <c r="B7" s="20" t="inlineStr">
        <is>
          <t>IEC 81346 / RDS-PP</t>
        </is>
      </c>
      <c r="C7" s="20" t="inlineStr">
        <is>
          <t>Identificatiestandaard</t>
        </is>
      </c>
      <c r="D7" s="20" t="inlineStr">
        <is>
          <t>Semantiek &amp; data</t>
        </is>
      </c>
      <c r="E7" s="20" t="inlineStr">
        <is>
          <t>IEC</t>
        </is>
      </c>
      <c r="F7" s="20" t="inlineStr">
        <is>
          <t>Standaard</t>
        </is>
      </c>
      <c r="G7" s="20" t="inlineStr">
        <is>
          <t>Assets</t>
        </is>
      </c>
      <c r="H7" s="20" t="inlineStr">
        <is>
          <t>Eenduidige asset-identificatie</t>
        </is>
      </c>
      <c r="I7" s="20">
        <f>COUNTIF(Portfolio!$Q$2:$Q$500,"*"&amp;A7&amp;"*")</f>
        <v/>
      </c>
      <c r="J7" s="20" t="inlineStr">
        <is>
          <t>https://webstore.iec.ch/en/publication/64021</t>
        </is>
      </c>
    </row>
    <row r="8" ht="28.35" customHeight="1" s="15">
      <c r="A8" s="20" t="inlineStr">
        <is>
          <t>BS-IEC61850</t>
        </is>
      </c>
      <c r="B8" s="20" t="inlineStr">
        <is>
          <t>IEC 61850</t>
        </is>
      </c>
      <c r="C8" s="20" t="inlineStr">
        <is>
          <t>Communicatiestandaard</t>
        </is>
      </c>
      <c r="D8" s="20" t="inlineStr">
        <is>
          <t>Semantiek &amp; data</t>
        </is>
      </c>
      <c r="E8" s="20" t="inlineStr">
        <is>
          <t>IEC</t>
        </is>
      </c>
      <c r="F8" s="20" t="inlineStr">
        <is>
          <t>Standaard</t>
        </is>
      </c>
      <c r="G8" s="20" t="inlineStr">
        <is>
          <t>Elektriciteit (stations)</t>
        </is>
      </c>
      <c r="H8" s="20" t="inlineStr">
        <is>
          <t>Stationsconfiguratie en -communicatie; basis voor station-twins (GRID-PRO, OET, CoMPAS)</t>
        </is>
      </c>
      <c r="I8" s="20">
        <f>COUNTIF(Portfolio!$Q$2:$Q$500,"*"&amp;A8&amp;"*")</f>
        <v/>
      </c>
      <c r="J8" s="20" t="inlineStr">
        <is>
          <t>https://lfenergy.org/our-projects</t>
        </is>
      </c>
    </row>
    <row r="9" ht="15" customHeight="1" s="15">
      <c r="A9" s="20" t="inlineStr">
        <is>
          <t>BS-SAREF</t>
        </is>
      </c>
      <c r="B9" s="20" t="inlineStr">
        <is>
          <t>SAREF</t>
        </is>
      </c>
      <c r="C9" s="20" t="inlineStr">
        <is>
          <t>Ontologie</t>
        </is>
      </c>
      <c r="D9" s="20" t="inlineStr">
        <is>
          <t>Semantiek &amp; data</t>
        </is>
      </c>
      <c r="E9" s="20" t="inlineStr">
        <is>
          <t>ETSI</t>
        </is>
      </c>
      <c r="F9" s="20" t="inlineStr">
        <is>
          <t>Open standaard</t>
        </is>
      </c>
      <c r="G9" s="20" t="inlineStr">
        <is>
          <t>Gebouw, apparaten</t>
        </is>
      </c>
      <c r="H9" s="20" t="inlineStr">
        <is>
          <t>Achter-de-meter en gebouw-twins</t>
        </is>
      </c>
      <c r="I9" s="20">
        <f>COUNTIF(Portfolio!$Q$2:$Q$500,"*"&amp;A9&amp;"*")</f>
        <v/>
      </c>
      <c r="J9" s="20" t="inlineStr">
        <is>
          <t>https://saref.etsi.org/</t>
        </is>
      </c>
    </row>
    <row r="10" ht="15" customHeight="1" s="15">
      <c r="A10" s="20" t="inlineStr">
        <is>
          <t>BS-USEF</t>
        </is>
      </c>
      <c r="B10" s="20" t="inlineStr">
        <is>
          <t>USEF / Shapeshifter (UFTP)</t>
        </is>
      </c>
      <c r="C10" s="20" t="inlineStr">
        <is>
          <t>Marktmodel / protocol</t>
        </is>
      </c>
      <c r="D10" s="20" t="inlineStr">
        <is>
          <t>Afspraken &amp; protocol</t>
        </is>
      </c>
      <c r="E10" s="20" t="inlineStr">
        <is>
          <t>USEF, LF Energy</t>
        </is>
      </c>
      <c r="F10" s="20" t="inlineStr">
        <is>
          <t>Open source</t>
        </is>
      </c>
      <c r="G10" s="20" t="inlineStr">
        <is>
          <t>Elektriciteit (flex)</t>
        </is>
      </c>
      <c r="H10" s="20" t="inlineStr">
        <is>
          <t>Flexibiliteitsuitwisseling DSO-aggregator</t>
        </is>
      </c>
      <c r="I10" s="20">
        <f>COUNTIF(Portfolio!$Q$2:$Q$500,"*"&amp;A10&amp;"*")</f>
        <v/>
      </c>
      <c r="J10" s="20" t="inlineStr">
        <is>
          <t>https://lfenergy.org/our-projects</t>
        </is>
      </c>
    </row>
    <row r="11" ht="41.75" customHeight="1" s="15">
      <c r="A11" s="20" t="inlineStr">
        <is>
          <t>BS-S2</t>
        </is>
      </c>
      <c r="B11" s="20" t="inlineStr">
        <is>
          <t>EFI / S2 (EN 50491-12-2)</t>
        </is>
      </c>
      <c r="C11" s="20" t="inlineStr">
        <is>
          <t>Protocol</t>
        </is>
      </c>
      <c r="D11" s="20" t="inlineStr">
        <is>
          <t>Afspraken &amp; protocol</t>
        </is>
      </c>
      <c r="E11" s="20" t="inlineStr">
        <is>
          <t>FAN, CENELEC</t>
        </is>
      </c>
      <c r="F11" s="20" t="inlineStr">
        <is>
          <t>Open standaard</t>
        </is>
      </c>
      <c r="G11" s="20" t="inlineStr">
        <is>
          <t>Gebouw, apparaten</t>
        </is>
      </c>
      <c r="H11" s="20" t="inlineStr">
        <is>
          <t>Flexibiliteit van apparaten richting EMS</t>
        </is>
      </c>
      <c r="I11" s="20">
        <f>COUNTIF(Portfolio!$Q$2:$Q$500,"*"&amp;A11&amp;"*")</f>
        <v/>
      </c>
      <c r="J11" s="20" t="inlineStr">
        <is>
          <t>https://referentiearchitectuurtopsectorenergie.github.io/NEDRA/detail/afstemming/modellen/index.html</t>
        </is>
      </c>
    </row>
    <row r="12" ht="28.35" customHeight="1" s="15">
      <c r="A12" s="20" t="inlineStr">
        <is>
          <t>BS-OPENADR</t>
        </is>
      </c>
      <c r="B12" s="20" t="inlineStr">
        <is>
          <t>OpenADR (openLEADR)</t>
        </is>
      </c>
      <c r="C12" s="20" t="inlineStr">
        <is>
          <t>Protocol</t>
        </is>
      </c>
      <c r="D12" s="20" t="inlineStr">
        <is>
          <t>Afspraken &amp; protocol</t>
        </is>
      </c>
      <c r="E12" s="20" t="inlineStr">
        <is>
          <t>OpenADR Alliance, LF Energy</t>
        </is>
      </c>
      <c r="F12" s="20" t="inlineStr">
        <is>
          <t>Open standaard</t>
        </is>
      </c>
      <c r="G12" s="20" t="inlineStr">
        <is>
          <t>Elektriciteit (vraagrespons)</t>
        </is>
      </c>
      <c r="H12" s="20" t="inlineStr">
        <is>
          <t>Vraagresponssignalen</t>
        </is>
      </c>
      <c r="I12" s="20">
        <f>COUNTIF(Portfolio!$Q$2:$Q$500,"*"&amp;A12&amp;"*")</f>
        <v/>
      </c>
      <c r="J12" s="20" t="inlineStr">
        <is>
          <t>https://lfenergy.org/our-projects</t>
        </is>
      </c>
    </row>
    <row r="13" ht="15" customHeight="1" s="15">
      <c r="A13" s="20" t="inlineStr">
        <is>
          <t>BS-ISHARE</t>
        </is>
      </c>
      <c r="B13" s="20" t="inlineStr">
        <is>
          <t>iSHARE</t>
        </is>
      </c>
      <c r="C13" s="20" t="inlineStr">
        <is>
          <t>Trust framework</t>
        </is>
      </c>
      <c r="D13" s="20" t="inlineStr">
        <is>
          <t>Trust &amp; afspraken</t>
        </is>
      </c>
      <c r="E13" s="20" t="inlineStr">
        <is>
          <t>iSHARE Foundation</t>
        </is>
      </c>
      <c r="F13" s="20" t="inlineStr">
        <is>
          <t>Open</t>
        </is>
      </c>
      <c r="G13" s="20" t="inlineStr">
        <is>
          <t>Generiek</t>
        </is>
      </c>
      <c r="H13" s="20" t="inlineStr">
        <is>
          <t>Identificatie, authenticatie, autorisatie bij datadelen</t>
        </is>
      </c>
      <c r="I13" s="20">
        <f>COUNTIF(Portfolio!$Q$2:$Q$500,"*"&amp;A13&amp;"*")</f>
        <v/>
      </c>
      <c r="J13" s="20" t="inlineStr">
        <is>
          <t>https://ishare.eu/</t>
        </is>
      </c>
    </row>
    <row r="14" ht="28.35" customHeight="1" s="15">
      <c r="A14" s="20" t="inlineStr">
        <is>
          <t>BS-MHM</t>
        </is>
      </c>
      <c r="B14" s="20" t="inlineStr">
        <is>
          <t>LinkED Energy Data: MHM</t>
        </is>
      </c>
      <c r="C14" s="20" t="inlineStr">
        <is>
          <t>Harmonisatiemethode</t>
        </is>
      </c>
      <c r="D14" s="20" t="inlineStr">
        <is>
          <t>Semantiek &amp; data</t>
        </is>
      </c>
      <c r="E14" s="20" t="inlineStr">
        <is>
          <t>Topsector Energie-project</t>
        </is>
      </c>
      <c r="F14" s="20" t="inlineStr">
        <is>
          <t>Open (archief)</t>
        </is>
      </c>
      <c r="G14" s="20" t="inlineStr">
        <is>
          <t>Energie</t>
        </is>
      </c>
      <c r="H14" s="20" t="inlineStr">
        <is>
          <t>Mappings ESDL-CIM-NBility</t>
        </is>
      </c>
      <c r="I14" s="20">
        <f>COUNTIF(Portfolio!$Q$2:$Q$500,"*"&amp;A14&amp;"*")</f>
        <v/>
      </c>
      <c r="J14" s="20" t="inlineStr">
        <is>
          <t>https://projecten.topsectorenergie.nl/projecten/linked-energy-data-27621</t>
        </is>
      </c>
    </row>
    <row r="15" ht="28.35" customHeight="1" s="15">
      <c r="A15" s="20" t="inlineStr">
        <is>
          <t>BS-SEF</t>
        </is>
      </c>
      <c r="B15" s="20" t="inlineStr">
        <is>
          <t>LF Energy SEF</t>
        </is>
      </c>
      <c r="C15" s="20" t="inlineStr">
        <is>
          <t>Interoperabiliteitsframework</t>
        </is>
      </c>
      <c r="D15" s="20" t="inlineStr">
        <is>
          <t>Semantiek &amp; data</t>
        </is>
      </c>
      <c r="E15" s="20" t="inlineStr">
        <is>
          <t>LF Energy</t>
        </is>
      </c>
      <c r="F15" s="20" t="inlineStr">
        <is>
          <t>Open source</t>
        </is>
      </c>
      <c r="G15" s="20" t="inlineStr">
        <is>
          <t>Energie</t>
        </is>
      </c>
      <c r="H15" s="20" t="inlineStr">
        <is>
          <t>Semantische data-uitwisseling</t>
        </is>
      </c>
      <c r="I15" s="20">
        <f>COUNTIF(Portfolio!$Q$2:$Q$500,"*"&amp;A15&amp;"*")</f>
        <v/>
      </c>
      <c r="J15" s="20" t="inlineStr">
        <is>
          <t>https://lfenergy.org/projects/semantic-energy-framework-sef/</t>
        </is>
      </c>
    </row>
    <row r="16" ht="28.35" customHeight="1" s="15">
      <c r="A16" s="20" t="inlineStr">
        <is>
          <t>BS-PGM</t>
        </is>
      </c>
      <c r="B16" s="20" t="inlineStr">
        <is>
          <t>Power Grid Model</t>
        </is>
      </c>
      <c r="C16" s="20" t="inlineStr">
        <is>
          <t>Rekenbibliotheek</t>
        </is>
      </c>
      <c r="D16" s="20" t="inlineStr">
        <is>
          <t>Rekenmodel</t>
        </is>
      </c>
      <c r="E16" s="20" t="inlineStr">
        <is>
          <t>LF Energy (oorsprong Alliander)</t>
        </is>
      </c>
      <c r="F16" s="20" t="inlineStr">
        <is>
          <t>Open source</t>
        </is>
      </c>
      <c r="G16" s="20" t="inlineStr">
        <is>
          <t>Elektriciteit (distributie)</t>
        </is>
      </c>
      <c r="H16" s="20" t="inlineStr">
        <is>
          <t>Loadflow en state estimation distributienetten</t>
        </is>
      </c>
      <c r="I16" s="20">
        <f>COUNTIF(Portfolio!$Q$2:$Q$500,"*"&amp;A16&amp;"*")</f>
        <v/>
      </c>
      <c r="J16" s="20" t="inlineStr">
        <is>
          <t>https://lfenergy.org/our-projects</t>
        </is>
      </c>
    </row>
    <row r="17" ht="15" customHeight="1" s="15">
      <c r="A17" s="20" t="inlineStr">
        <is>
          <t>BS-OPENSTEF</t>
        </is>
      </c>
      <c r="B17" s="20" t="inlineStr">
        <is>
          <t>OpenSTEF</t>
        </is>
      </c>
      <c r="C17" s="20" t="inlineStr">
        <is>
          <t>Voorspelbibliotheek</t>
        </is>
      </c>
      <c r="D17" s="20" t="inlineStr">
        <is>
          <t>Rekenmodel</t>
        </is>
      </c>
      <c r="E17" s="20" t="inlineStr">
        <is>
          <t>LF Energy (oorsprong Alliander)</t>
        </is>
      </c>
      <c r="F17" s="20" t="inlineStr">
        <is>
          <t>Open source</t>
        </is>
      </c>
      <c r="G17" s="20" t="inlineStr">
        <is>
          <t>Elektriciteit</t>
        </is>
      </c>
      <c r="H17" s="20" t="inlineStr">
        <is>
          <t>Kortetermijnvoorspelling belasting</t>
        </is>
      </c>
      <c r="I17" s="20">
        <f>COUNTIF(Portfolio!$Q$2:$Q$500,"*"&amp;A17&amp;"*")</f>
        <v/>
      </c>
      <c r="J17" s="20" t="inlineStr">
        <is>
          <t>https://lfenergy.org/our-projects</t>
        </is>
      </c>
    </row>
    <row r="18" ht="28.35" customHeight="1" s="15">
      <c r="A18" s="20" t="inlineStr">
        <is>
          <t>BS-POWSYBL</t>
        </is>
      </c>
      <c r="B18" s="20" t="inlineStr">
        <is>
          <t>PowSyBl</t>
        </is>
      </c>
      <c r="C18" s="20" t="inlineStr">
        <is>
          <t>Netmodel- en rekenplatform</t>
        </is>
      </c>
      <c r="D18" s="20" t="inlineStr">
        <is>
          <t>Rekenmodel</t>
        </is>
      </c>
      <c r="E18" s="20" t="inlineStr">
        <is>
          <t>LF Energy (oorsprong RTE)</t>
        </is>
      </c>
      <c r="F18" s="20" t="inlineStr">
        <is>
          <t>Open source</t>
        </is>
      </c>
      <c r="G18" s="20" t="inlineStr">
        <is>
          <t>Elektriciteit (transport)</t>
        </is>
      </c>
      <c r="H18" s="20" t="inlineStr">
        <is>
          <t>Netmodellering, monitoring, stabiliteit</t>
        </is>
      </c>
      <c r="I18" s="20">
        <f>COUNTIF(Portfolio!$Q$2:$Q$500,"*"&amp;A18&amp;"*")</f>
        <v/>
      </c>
      <c r="J18" s="20" t="inlineStr">
        <is>
          <t>https://lfenergy.org/our-projects</t>
        </is>
      </c>
    </row>
    <row r="19" ht="15" customHeight="1" s="15">
      <c r="A19" s="20" t="inlineStr">
        <is>
          <t>BS-DYNAWO</t>
        </is>
      </c>
      <c r="B19" s="20" t="inlineStr">
        <is>
          <t>Dynawo</t>
        </is>
      </c>
      <c r="C19" s="20" t="inlineStr">
        <is>
          <t>Simulatie</t>
        </is>
      </c>
      <c r="D19" s="20" t="inlineStr">
        <is>
          <t>Rekenmodel</t>
        </is>
      </c>
      <c r="E19" s="20" t="inlineStr">
        <is>
          <t>LF Energy (oorsprong RTE)</t>
        </is>
      </c>
      <c r="F19" s="20" t="inlineStr">
        <is>
          <t>Open source</t>
        </is>
      </c>
      <c r="G19" s="20" t="inlineStr">
        <is>
          <t>Elektriciteit</t>
        </is>
      </c>
      <c r="H19" s="20" t="inlineStr">
        <is>
          <t>Dynamische systeemsimulatie</t>
        </is>
      </c>
      <c r="I19" s="20">
        <f>COUNTIF(Portfolio!$Q$2:$Q$500,"*"&amp;A19&amp;"*")</f>
        <v/>
      </c>
      <c r="J19" s="20" t="inlineStr">
        <is>
          <t>https://lfenergy.org/our-projects</t>
        </is>
      </c>
    </row>
    <row r="20" ht="15" customHeight="1" s="15">
      <c r="A20" s="20" t="inlineStr">
        <is>
          <t>BS-GRID2OP</t>
        </is>
      </c>
      <c r="B20" s="20" t="inlineStr">
        <is>
          <t>Grid2Op</t>
        </is>
      </c>
      <c r="C20" s="20" t="inlineStr">
        <is>
          <t>Simulatie / AI</t>
        </is>
      </c>
      <c r="D20" s="20" t="inlineStr">
        <is>
          <t>Rekenmodel</t>
        </is>
      </c>
      <c r="E20" s="20" t="inlineStr">
        <is>
          <t>LF Energy (oorsprong RTE)</t>
        </is>
      </c>
      <c r="F20" s="20" t="inlineStr">
        <is>
          <t>Open source</t>
        </is>
      </c>
      <c r="G20" s="20" t="inlineStr">
        <is>
          <t>Elektriciteit</t>
        </is>
      </c>
      <c r="H20" s="20" t="inlineStr">
        <is>
          <t>Omgeving voor AI-netregeling</t>
        </is>
      </c>
      <c r="I20" s="20">
        <f>COUNTIF(Portfolio!$Q$2:$Q$500,"*"&amp;A20&amp;"*")</f>
        <v/>
      </c>
      <c r="J20" s="20" t="inlineStr">
        <is>
          <t>https://lfenergy.org/our-projects</t>
        </is>
      </c>
    </row>
    <row r="21" ht="28.35" customHeight="1" s="15">
      <c r="A21" s="20" t="inlineStr">
        <is>
          <t>BS-CITYGML</t>
        </is>
      </c>
      <c r="B21" s="20" t="inlineStr">
        <is>
          <t>CityGML 3.0</t>
        </is>
      </c>
      <c r="C21" s="20" t="inlineStr">
        <is>
          <t>Informatiemodel</t>
        </is>
      </c>
      <c r="D21" s="20" t="inlineStr">
        <is>
          <t>Semantiek &amp; data</t>
        </is>
      </c>
      <c r="E21" s="20" t="inlineStr">
        <is>
          <t>OGC</t>
        </is>
      </c>
      <c r="F21" s="20" t="inlineStr">
        <is>
          <t>Open standaard</t>
        </is>
      </c>
      <c r="G21" s="20" t="inlineStr">
        <is>
          <t>GO</t>
        </is>
      </c>
      <c r="H21" s="20" t="inlineStr">
        <is>
          <t>Semantisch 3D-stadsmodel (o.a. PLATEAU, NLDT)</t>
        </is>
      </c>
      <c r="I21" s="20">
        <f>COUNTIF(Portfolio!$Q$2:$Q$500,"*"&amp;A21&amp;"*")</f>
        <v/>
      </c>
      <c r="J21" s="20" t="inlineStr">
        <is>
          <t>https://www.ogc.org/groups/urban-digital-twins-domain-working-group/</t>
        </is>
      </c>
    </row>
    <row r="22" ht="28.35" customHeight="1" s="15">
      <c r="A22" s="20" t="inlineStr">
        <is>
          <t>BS-IFC</t>
        </is>
      </c>
      <c r="B22" s="20" t="inlineStr">
        <is>
          <t>IFC 4.3 / openBIM</t>
        </is>
      </c>
      <c r="C22" s="20" t="inlineStr">
        <is>
          <t>Informatiemodel</t>
        </is>
      </c>
      <c r="D22" s="20" t="inlineStr">
        <is>
          <t>Semantiek &amp; data</t>
        </is>
      </c>
      <c r="E22" s="20" t="inlineStr">
        <is>
          <t>buildingSMART (ISO 16739-1:2024)</t>
        </is>
      </c>
      <c r="F22" s="20" t="inlineStr">
        <is>
          <t>Open standaard</t>
        </is>
      </c>
      <c r="G22" s="20" t="inlineStr">
        <is>
          <t>Gebouw, infra</t>
        </is>
      </c>
      <c r="H22" s="20" t="inlineStr">
        <is>
          <t>Gebouw- en infra-twins (o.a. Schiehaven Noord)</t>
        </is>
      </c>
      <c r="I22" s="20">
        <f>COUNTIF(Portfolio!$Q$2:$Q$500,"*"&amp;A22&amp;"*")</f>
        <v/>
      </c>
      <c r="J22" s="20" t="inlineStr">
        <is>
          <t>https://www.buildingsmart.org/</t>
        </is>
      </c>
    </row>
    <row r="23" ht="15" customHeight="1" s="15">
      <c r="A23" s="20" t="inlineStr">
        <is>
          <t>BS-3DBAG</t>
        </is>
      </c>
      <c r="B23" s="20" t="inlineStr">
        <is>
          <t>3D BAG / 3D Basisvoorziening</t>
        </is>
      </c>
      <c r="C23" s="20" t="inlineStr">
        <is>
          <t>Basisdata</t>
        </is>
      </c>
      <c r="D23" s="20" t="inlineStr">
        <is>
          <t>Semantiek &amp; data</t>
        </is>
      </c>
      <c r="E23" s="20" t="inlineStr">
        <is>
          <t>TU Delft, Kadaster</t>
        </is>
      </c>
      <c r="F23" s="20" t="inlineStr">
        <is>
          <t>Open data</t>
        </is>
      </c>
      <c r="G23" s="20" t="inlineStr">
        <is>
          <t>GO</t>
        </is>
      </c>
      <c r="H23" s="20" t="inlineStr">
        <is>
          <t>3D-gebouwen NL; basis voor energie- en GO-twins</t>
        </is>
      </c>
      <c r="I23" s="20">
        <f>COUNTIF(Portfolio!$Q$2:$Q$500,"*"&amp;A23&amp;"*")</f>
        <v/>
      </c>
      <c r="J23" s="20" t="inlineStr">
        <is>
          <t>https://3dbag.nl/</t>
        </is>
      </c>
    </row>
    <row r="24" ht="15" customHeight="1" s="15">
      <c r="A24" s="20" t="inlineStr">
        <is>
          <t>BS-3DTILES</t>
        </is>
      </c>
      <c r="B24" s="20" t="inlineStr">
        <is>
          <t>3D Tiles (Nederland)</t>
        </is>
      </c>
      <c r="C24" s="20" t="inlineStr">
        <is>
          <t>Dataservice</t>
        </is>
      </c>
      <c r="D24" s="20" t="inlineStr">
        <is>
          <t>Platform &amp; visualisatie</t>
        </is>
      </c>
      <c r="E24" s="20" t="inlineStr">
        <is>
          <t>OGC; VNG en gemeenten</t>
        </is>
      </c>
      <c r="F24" s="20" t="inlineStr">
        <is>
          <t>Open standaard</t>
        </is>
      </c>
      <c r="G24" s="20" t="inlineStr">
        <is>
          <t>GO</t>
        </is>
      </c>
      <c r="H24" s="20" t="inlineStr">
        <is>
          <t>3D-stadsmodellen als webservice</t>
        </is>
      </c>
      <c r="I24" s="20">
        <f>COUNTIF(Portfolio!$Q$2:$Q$500,"*"&amp;A24&amp;"*")</f>
        <v/>
      </c>
      <c r="J24" s="20" t="inlineStr">
        <is>
          <t>https://3dtilesnederland.nl/</t>
        </is>
      </c>
    </row>
    <row r="25" ht="41.75" customHeight="1" s="15">
      <c r="A25" s="20" t="inlineStr">
        <is>
          <t>BS-NGSILD</t>
        </is>
      </c>
      <c r="B25" s="20" t="inlineStr">
        <is>
          <t>NGSI-LD / MIMs Plus</t>
        </is>
      </c>
      <c r="C25" s="20" t="inlineStr">
        <is>
          <t>API en interoperabiliteitsminima</t>
        </is>
      </c>
      <c r="D25" s="20" t="inlineStr">
        <is>
          <t>Semantiek &amp; data</t>
        </is>
      </c>
      <c r="E25" s="20" t="inlineStr">
        <is>
          <t>ETSI, OASC</t>
        </is>
      </c>
      <c r="F25" s="20" t="inlineStr">
        <is>
          <t>Open standaard</t>
        </is>
      </c>
      <c r="G25" s="20" t="inlineStr">
        <is>
          <t>GO (LDT)</t>
        </is>
      </c>
      <c r="H25" s="20" t="inlineStr">
        <is>
          <t>Contextinformatie en conformiteit lokale twins</t>
        </is>
      </c>
      <c r="I25" s="20">
        <f>COUNTIF(Portfolio!$Q$2:$Q$500,"*"&amp;A25&amp;"*")</f>
        <v/>
      </c>
      <c r="J25" s="20" t="inlineStr">
        <is>
          <t>https://oascities.org/european-local-digital-twin-toolbox-project/</t>
        </is>
      </c>
    </row>
    <row r="26" ht="15" customHeight="1" s="15">
      <c r="A26" s="20" t="inlineStr">
        <is>
          <t>BS-TERRIA</t>
        </is>
      </c>
      <c r="B26" s="20" t="inlineStr">
        <is>
          <t>TerriaJS</t>
        </is>
      </c>
      <c r="C26" s="20" t="inlineStr">
        <is>
          <t>Visualisatieplatform</t>
        </is>
      </c>
      <c r="D26" s="20" t="inlineStr">
        <is>
          <t>Platform &amp; visualisatie</t>
        </is>
      </c>
      <c r="E26" s="20" t="inlineStr">
        <is>
          <t>CSIRO Data61</t>
        </is>
      </c>
      <c r="F26" s="20" t="inlineStr">
        <is>
          <t>Open source</t>
        </is>
      </c>
      <c r="G26" s="20" t="inlineStr">
        <is>
          <t>GO</t>
        </is>
      </c>
      <c r="H26" s="20" t="inlineStr">
        <is>
          <t>Webplatform onder Digital Twin Victoria en NSW SDT</t>
        </is>
      </c>
      <c r="I26" s="20">
        <f>COUNTIF(Portfolio!$Q$2:$Q$500,"*"&amp;A26&amp;"*")</f>
        <v/>
      </c>
      <c r="J26" s="20" t="inlineStr">
        <is>
          <t>https://opengovasia.com/?p=85556</t>
        </is>
      </c>
    </row>
    <row r="27" ht="15" customHeight="1" s="15">
      <c r="A27" s="20" t="inlineStr">
        <is>
          <t>BS-OEO</t>
        </is>
      </c>
      <c r="B27" s="20" t="inlineStr">
        <is>
          <t>Open Energy Ontology</t>
        </is>
      </c>
      <c r="C27" s="20" t="inlineStr">
        <is>
          <t>Ontologie</t>
        </is>
      </c>
      <c r="D27" s="20" t="inlineStr">
        <is>
          <t>Semantiek &amp; data</t>
        </is>
      </c>
      <c r="E27" s="20" t="inlineStr">
        <is>
          <t>Open Energy Platform</t>
        </is>
      </c>
      <c r="F27" s="20" t="inlineStr">
        <is>
          <t>Open</t>
        </is>
      </c>
      <c r="G27" s="20" t="inlineStr">
        <is>
          <t>Energie</t>
        </is>
      </c>
      <c r="H27" s="20" t="inlineStr">
        <is>
          <t>Referentie-ontologie</t>
        </is>
      </c>
      <c r="I27" s="20">
        <f>COUNTIF(Portfolio!$Q$2:$Q$500,"*"&amp;A27&amp;"*")</f>
        <v/>
      </c>
      <c r="J27" s="20" t="inlineStr">
        <is>
          <t>https://openenergyplatform.org/ontology/</t>
        </is>
      </c>
    </row>
    <row r="28" ht="28.35" customHeight="1" s="15">
      <c r="A28" s="20" t="inlineStr">
        <is>
          <t>BS-WEII</t>
        </is>
      </c>
      <c r="B28" s="20" t="inlineStr">
        <is>
          <t>WEii-protocol (DGBC)</t>
        </is>
      </c>
      <c r="C28" s="20" t="inlineStr">
        <is>
          <t>Meetprotocol / indicator</t>
        </is>
      </c>
      <c r="D28" s="20" t="inlineStr">
        <is>
          <t>Afspraken &amp; protocol</t>
        </is>
      </c>
      <c r="E28" s="20" t="inlineStr">
        <is>
          <t>Dutch Green Building Council</t>
        </is>
      </c>
      <c r="F28" s="20" t="inlineStr">
        <is>
          <t>Open</t>
        </is>
      </c>
      <c r="G28" s="20" t="inlineStr">
        <is>
          <t>Gebouwen</t>
        </is>
      </c>
      <c r="H28" s="20" t="inlineStr">
        <is>
          <t>Gestandaardiseerde energieprestatie-indicator utiliteitsgebouwen; gebruikt in DVU</t>
        </is>
      </c>
      <c r="I28" s="20">
        <f>COUNTIF(Portfolio!$Q$2:$Q$500,"*"&amp;A28&amp;"*")</f>
        <v/>
      </c>
      <c r="J28" s="20" t="inlineStr">
        <is>
          <t>https://www.datastelselverduurzamingutiliteit.nl/</t>
        </is>
      </c>
    </row>
    <row r="29" ht="28.35" customHeight="1" s="15">
      <c r="A29" s="20" t="inlineStr">
        <is>
          <t>BS-FIWARE</t>
        </is>
      </c>
      <c r="B29" s="20" t="inlineStr">
        <is>
          <t>FIWARE (NGSI-LD, Smart Data Models, Data Space Connector)</t>
        </is>
      </c>
      <c r="C29" s="20" t="inlineStr">
        <is>
          <t>Open-source stack</t>
        </is>
      </c>
      <c r="D29" s="20" t="inlineStr">
        <is>
          <t>Platform &amp; visualisatie</t>
        </is>
      </c>
      <c r="E29" s="20" t="inlineStr">
        <is>
          <t>FIWARE Foundation</t>
        </is>
      </c>
      <c r="F29" s="20" t="inlineStr">
        <is>
          <t>Open source</t>
        </is>
      </c>
      <c r="G29" s="20" t="inlineStr">
        <is>
          <t>Generiek, smart city</t>
        </is>
      </c>
      <c r="H29" s="20" t="inlineStr">
        <is>
          <t>Contextdata, IoT en digital-twin-architecturen als bouwsteen voor data spaces</t>
        </is>
      </c>
      <c r="I29" s="20">
        <f>COUNTIF(Portfolio!$Q$2:$Q$500,"*"&amp;A29&amp;"*")</f>
        <v/>
      </c>
      <c r="J29" s="20" t="inlineStr">
        <is>
          <t>https://www.fiware.org/ ; https://smartdatamodels.org/</t>
        </is>
      </c>
    </row>
    <row r="30" ht="28.35" customHeight="1" s="15">
      <c r="A30" s="20" t="inlineStr">
        <is>
          <t>BS-SIF</t>
        </is>
      </c>
      <c r="B30" s="20" t="inlineStr">
        <is>
          <t>InterConnect Semantic Interoperability Framework</t>
        </is>
      </c>
      <c r="C30" s="20" t="inlineStr">
        <is>
          <t>Interoperabiliteitsframework</t>
        </is>
      </c>
      <c r="D30" s="20" t="inlineStr">
        <is>
          <t>Semantiek &amp; data</t>
        </is>
      </c>
      <c r="E30" s="20" t="inlineStr">
        <is>
          <t>H2020 InterConnect (afgerond)</t>
        </is>
      </c>
      <c r="F30" s="20" t="inlineStr">
        <is>
          <t>Open</t>
        </is>
      </c>
      <c r="G30" s="20" t="inlineStr">
        <is>
          <t>Gebouw, apparaten</t>
        </is>
      </c>
      <c r="H30" s="20" t="inlineStr">
        <is>
          <t>SAREF-gebaseerde koppeling apparaten-diensten; NL-pilot</t>
        </is>
      </c>
      <c r="I30" s="20">
        <f>COUNTIF(Portfolio!$Q$2:$Q$500,"*"&amp;A30&amp;"*")</f>
        <v/>
      </c>
      <c r="J30" s="20" t="inlineStr">
        <is>
          <t>https://interconnectproject.eu/resources/semantic-interoperability-framework-sif/</t>
        </is>
      </c>
    </row>
    <row r="31" ht="28.35" customHeight="1" s="15">
      <c r="A31" s="20" t="inlineStr">
        <is>
          <t>BS-ONENET</t>
        </is>
      </c>
      <c r="B31" s="20" t="inlineStr">
        <is>
          <t>OneNet-richtlijnen (data exchange, data models, middleware)</t>
        </is>
      </c>
      <c r="C31" s="20" t="inlineStr">
        <is>
          <t>Richtlijnen</t>
        </is>
      </c>
      <c r="D31" s="20" t="inlineStr">
        <is>
          <t>Semantiek &amp; data</t>
        </is>
      </c>
      <c r="E31" s="20" t="inlineStr">
        <is>
          <t>H2020 OneNet (afgerond)</t>
        </is>
      </c>
      <c r="F31" s="20" t="inlineStr">
        <is>
          <t>Open</t>
        </is>
      </c>
      <c r="G31" s="20" t="inlineStr">
        <is>
          <t>Elektriciteit (TSO-DSO)</t>
        </is>
      </c>
      <c r="H31" s="20" t="inlineStr">
        <is>
          <t>Implementatiepatronen voor interoperabele uitwisseling van flex en data</t>
        </is>
      </c>
      <c r="I31" s="20">
        <f>COUNTIF(Portfolio!$Q$2:$Q$500,"*"&amp;A31&amp;"*")</f>
        <v/>
      </c>
      <c r="J31" s="20" t="inlineStr">
        <is>
          <t>https://onenet-project.eu/public-deliverables/</t>
        </is>
      </c>
    </row>
    <row r="32" ht="41.75" customHeight="1" s="15">
      <c r="A32" s="20" t="inlineStr">
        <is>
          <t>BS-OPENFMB</t>
        </is>
      </c>
      <c r="B32" s="20" t="inlineStr">
        <is>
          <t>OpenFMB</t>
        </is>
      </c>
      <c r="C32" s="20" t="inlineStr">
        <is>
          <t>Interoperabiliteitsframework</t>
        </is>
      </c>
      <c r="D32" s="20" t="inlineStr">
        <is>
          <t>Semantiek &amp; data</t>
        </is>
      </c>
      <c r="E32" s="20" t="inlineStr">
        <is>
          <t>UCAIug OpenFMB Users Group (VS)</t>
        </is>
      </c>
      <c r="F32" s="20" t="inlineStr">
        <is>
          <t>Open</t>
        </is>
      </c>
      <c r="G32" s="20" t="inlineStr">
        <is>
          <t>Elektriciteit (grid edge)</t>
        </is>
      </c>
      <c r="H32" s="20" t="inlineStr">
        <is>
          <t>Datamodellen en interfaces DER-utility; Amerikaans equivalent voor twin-koppeling aan de rand van het net</t>
        </is>
      </c>
      <c r="I32" s="20">
        <f>COUNTIF(Portfolio!$Q$2:$Q$500,"*"&amp;A32&amp;"*")</f>
        <v/>
      </c>
      <c r="J32" s="20" t="inlineStr">
        <is>
          <t>https://openfmb.org/</t>
        </is>
      </c>
    </row>
    <row r="33" ht="28.35" customHeight="1" s="15">
      <c r="A33" s="20" t="inlineStr">
        <is>
          <t>BS-MULTISPEAK</t>
        </is>
      </c>
      <c r="B33" s="20" t="inlineStr">
        <is>
          <t>MultiSpeak</t>
        </is>
      </c>
      <c r="C33" s="20" t="inlineStr">
        <is>
          <t>Interfacespecificatie</t>
        </is>
      </c>
      <c r="D33" s="20" t="inlineStr">
        <is>
          <t>Semantiek &amp; data</t>
        </is>
      </c>
      <c r="E33" s="20" t="inlineStr">
        <is>
          <t>NRECA / MultiSpeak Initiative (VS)</t>
        </is>
      </c>
      <c r="F33" s="20" t="inlineStr">
        <is>
          <t>Specificatie</t>
        </is>
      </c>
      <c r="G33" s="20" t="inlineStr">
        <is>
          <t>Elektriciteit (utility-IT)</t>
        </is>
      </c>
      <c r="H33" s="20" t="inlineStr">
        <is>
          <t>Interfaces tussen utility-applicaties</t>
        </is>
      </c>
      <c r="I33" s="20">
        <f>COUNTIF(Portfolio!$Q$2:$Q$500,"*"&amp;A33&amp;"*")</f>
        <v/>
      </c>
      <c r="J33" s="20" t="inlineStr">
        <is>
          <t>https://www.multispeak.org/</t>
        </is>
      </c>
    </row>
    <row r="34" ht="28.35" customHeight="1" s="15">
      <c r="A34" s="20" t="inlineStr">
        <is>
          <t>BS-ECHONET</t>
        </is>
      </c>
      <c r="B34" s="20" t="inlineStr">
        <is>
          <t>ECHONET Lite</t>
        </is>
      </c>
      <c r="C34" s="20" t="inlineStr">
        <is>
          <t>Interoperabiliteitskader</t>
        </is>
      </c>
      <c r="D34" s="20" t="inlineStr">
        <is>
          <t>Semantiek &amp; data</t>
        </is>
      </c>
      <c r="E34" s="20" t="inlineStr">
        <is>
          <t>ECHONET Consortium (Japan)</t>
        </is>
      </c>
      <c r="F34" s="20" t="inlineStr">
        <is>
          <t>Open standaard</t>
        </is>
      </c>
      <c r="G34" s="20" t="inlineStr">
        <is>
          <t>Gebouw, apparaten (HEMS/BEMS)</t>
        </is>
      </c>
      <c r="H34" s="20" t="inlineStr">
        <is>
          <t>Gedeelde taal voor apparaten in Japanse HEMS/BEMS; achter-de-meter-laag van gebouwtwins</t>
        </is>
      </c>
      <c r="I34" s="20">
        <f>COUNTIF(Portfolio!$Q$2:$Q$500,"*"&amp;A34&amp;"*")</f>
        <v/>
      </c>
      <c r="J34" s="20" t="inlineStr">
        <is>
          <t>https://echonet.jp/e-lite/english/global/</t>
        </is>
      </c>
    </row>
    <row r="35" ht="41.75" customHeight="1" s="15">
      <c r="A35" s="20" t="inlineStr">
        <is>
          <t>BS-DSP</t>
        </is>
      </c>
      <c r="B35" s="20" t="inlineStr">
        <is>
          <t>Dataspace Protocol (Eclipse/IDSA)</t>
        </is>
      </c>
      <c r="C35" s="20" t="inlineStr">
        <is>
          <t>Protocol</t>
        </is>
      </c>
      <c r="D35" s="20" t="inlineStr">
        <is>
          <t>Trust &amp; afspraken</t>
        </is>
      </c>
      <c r="E35" s="20" t="inlineStr">
        <is>
          <t>Eclipse Foundation (IDSA)</t>
        </is>
      </c>
      <c r="F35" s="20" t="inlineStr">
        <is>
          <t>Open standaard</t>
        </is>
      </c>
      <c r="G35" s="20" t="inlineStr">
        <is>
          <t>Generiek</t>
        </is>
      </c>
      <c r="H35" s="20" t="inlineStr">
        <is>
          <t>Uitwisseling tussen data spaces (catalogus, contractonderhandeling, overdracht); mogelijke convergentie tussen iSHARE en FSC</t>
        </is>
      </c>
      <c r="I35" s="20">
        <f>COUNTIF(Portfolio!$Q$2:$Q$500,"*"&amp;A35&amp;"*")</f>
        <v/>
      </c>
      <c r="J35" s="20" t="inlineStr">
        <is>
          <t>https://eclipse-dataspace-protocol-base.github.io/DataspaceProtocol/</t>
        </is>
      </c>
    </row>
    <row r="36" ht="28.35" customHeight="1" s="15">
      <c r="A36" s="20" t="inlineStr">
        <is>
          <t>BS-DCP</t>
        </is>
      </c>
      <c r="B36" s="20" t="inlineStr">
        <is>
          <t>Decentralised Claims Protocol</t>
        </is>
      </c>
      <c r="C36" s="20" t="inlineStr">
        <is>
          <t>Protocol</t>
        </is>
      </c>
      <c r="D36" s="20" t="inlineStr">
        <is>
          <t>Trust &amp; afspraken</t>
        </is>
      </c>
      <c r="E36" s="20" t="inlineStr">
        <is>
          <t>Eclipse Foundation</t>
        </is>
      </c>
      <c r="F36" s="20" t="inlineStr">
        <is>
          <t>Open standaard</t>
        </is>
      </c>
      <c r="G36" s="20" t="inlineStr">
        <is>
          <t>Generiek</t>
        </is>
      </c>
      <c r="H36" s="20" t="inlineStr">
        <is>
          <t>Uitwisseling van verifieerbare claims voor identiteit en attestatie in data spaces</t>
        </is>
      </c>
      <c r="I36" s="20">
        <f>COUNTIF(Portfolio!$Q$2:$Q$500,"*"&amp;A36&amp;"*")</f>
        <v/>
      </c>
      <c r="J36" s="20" t="inlineStr">
        <is>
          <t>https://github.com/eclipse-dataspace-dcp</t>
        </is>
      </c>
    </row>
    <row r="37" ht="28.35" customHeight="1" s="15">
      <c r="A37" s="20" t="inlineStr">
        <is>
          <t>BS-EDC</t>
        </is>
      </c>
      <c r="B37" s="20" t="inlineStr">
        <is>
          <t>Eclipse Dataspace Components (EDC)</t>
        </is>
      </c>
      <c r="C37" s="20" t="inlineStr">
        <is>
          <t>Software / connector</t>
        </is>
      </c>
      <c r="D37" s="20" t="inlineStr">
        <is>
          <t>Trust &amp; afspraken</t>
        </is>
      </c>
      <c r="E37" s="20" t="inlineStr">
        <is>
          <t>Eclipse Foundation</t>
        </is>
      </c>
      <c r="F37" s="20" t="inlineStr">
        <is>
          <t>Open source</t>
        </is>
      </c>
      <c r="G37" s="20" t="inlineStr">
        <is>
          <t>Generiek</t>
        </is>
      </c>
      <c r="H37" s="20" t="inlineStr">
        <is>
          <t>Referentie-implementatie van een data space-connector</t>
        </is>
      </c>
      <c r="I37" s="20">
        <f>COUNTIF(Portfolio!$Q$2:$Q$500,"*"&amp;A37&amp;"*")</f>
        <v/>
      </c>
      <c r="J37" s="20" t="inlineStr">
        <is>
          <t>https://eclipse-edc.github.io/</t>
        </is>
      </c>
    </row>
    <row r="38" ht="41.75" customHeight="1" s="15">
      <c r="A38" s="20" t="inlineStr">
        <is>
          <t>BS-FSC</t>
        </is>
      </c>
      <c r="B38" s="20" t="inlineStr">
        <is>
          <t>FSC: Federatieve Service Connectiviteit</t>
        </is>
      </c>
      <c r="C38" s="20" t="inlineStr">
        <is>
          <t>Standaard</t>
        </is>
      </c>
      <c r="D38" s="20" t="inlineStr">
        <is>
          <t>Trust &amp; afspraken</t>
        </is>
      </c>
      <c r="E38" s="20" t="inlineStr">
        <is>
          <t>Logius / VNG (FDS)</t>
        </is>
      </c>
      <c r="F38" s="20" t="inlineStr">
        <is>
          <t>Open standaard</t>
        </is>
      </c>
      <c r="G38" s="20" t="inlineStr">
        <is>
          <t>Overheid</t>
        </is>
      </c>
      <c r="H38" s="20" t="inlineStr">
        <is>
          <t>Vertrouwde, gelogde connectiviteit tussen overheidsorganisaties; connectiviteitsstandaard van het FDS</t>
        </is>
      </c>
      <c r="I38" s="20">
        <f>COUNTIF(Portfolio!$Q$2:$Q$500,"*"&amp;A38&amp;"*")</f>
        <v/>
      </c>
      <c r="J38" s="20" t="inlineStr">
        <is>
          <t>https://fsc-standaard.nl/</t>
        </is>
      </c>
    </row>
    <row r="39" ht="41.75" customHeight="1" s="15">
      <c r="A39" s="20" t="inlineStr">
        <is>
          <t>BS-DCAT</t>
        </is>
      </c>
      <c r="B39" s="20" t="inlineStr">
        <is>
          <t>DCAT-AP met ODRL</t>
        </is>
      </c>
      <c r="C39" s="20" t="inlineStr">
        <is>
          <t>Metadata- en beleidsstandaard</t>
        </is>
      </c>
      <c r="D39" s="20" t="inlineStr">
        <is>
          <t>Semantiek &amp; data</t>
        </is>
      </c>
      <c r="E39" s="20" t="inlineStr">
        <is>
          <t>W3C / EU (SEMIC)</t>
        </is>
      </c>
      <c r="F39" s="20" t="inlineStr">
        <is>
          <t>Open standaard</t>
        </is>
      </c>
      <c r="G39" s="20" t="inlineStr">
        <is>
          <t>Generiek</t>
        </is>
      </c>
      <c r="H39" s="20" t="inlineStr">
        <is>
          <t>Beschrijving en vindbaarheid van datasets en diensten (DCAT) en toegangs- en gebruiksbeleid (ODRL); convergerende metadatastandaard</t>
        </is>
      </c>
      <c r="I39" s="20">
        <f>COUNTIF(Portfolio!$Q$2:$Q$500,"*"&amp;A39&amp;"*")</f>
        <v/>
      </c>
      <c r="J39" s="20" t="inlineStr">
        <is>
          <t>https://www.w3.org/TR/vocab-dcat-3/</t>
        </is>
      </c>
    </row>
    <row r="40" ht="28.35" customHeight="1" s="15">
      <c r="A40" s="20" t="inlineStr">
        <is>
          <t>BS-MIM</t>
        </is>
      </c>
      <c r="B40" s="20" t="inlineStr">
        <is>
          <t>MIM en NEN 3610</t>
        </is>
      </c>
      <c r="C40" s="20" t="inlineStr">
        <is>
          <t>Informatiemodelleringsstandaard</t>
        </is>
      </c>
      <c r="D40" s="20" t="inlineStr">
        <is>
          <t>Semantiek &amp; data</t>
        </is>
      </c>
      <c r="E40" s="20" t="inlineStr">
        <is>
          <t>Geonovum / NEN</t>
        </is>
      </c>
      <c r="F40" s="20" t="inlineStr">
        <is>
          <t>Open standaard</t>
        </is>
      </c>
      <c r="G40" s="20" t="inlineStr">
        <is>
          <t>GO (geo)</t>
        </is>
      </c>
      <c r="H40" s="20" t="inlineStr">
        <is>
          <t>Metamodel en basismodel voor informatiemodellen in de fysieke leefomgeving</t>
        </is>
      </c>
      <c r="I40" s="20">
        <f>COUNTIF(Portfolio!$Q$2:$Q$500,"*"&amp;A40&amp;"*")</f>
        <v/>
      </c>
      <c r="J40" s="20" t="inlineStr">
        <is>
          <t>https://docs.geostandaarden.nl/mim/mim/</t>
        </is>
      </c>
    </row>
    <row r="41">
      <c r="A41" s="20" t="inlineStr">
        <is>
          <t>BS-HGA</t>
        </is>
      </c>
      <c r="B41" s="20" t="inlineStr">
        <is>
          <t>Holonic Graph Architecture (W3C Holon Graph Community Group)</t>
        </is>
      </c>
      <c r="C41" s="20" t="inlineStr">
        <is>
          <t>Architectuurpatroon (specificatie in ontwikkeling)</t>
        </is>
      </c>
      <c r="D41" s="20" t="inlineStr">
        <is>
          <t>Semantiek &amp; data</t>
        </is>
      </c>
      <c r="E41" s="20" t="inlineStr">
        <is>
          <t>W3C Holon Graph Community Group</t>
        </is>
      </c>
      <c r="F41" s="20" t="inlineStr">
        <is>
          <t>Open (community group, nog geen standaard)</t>
        </is>
      </c>
      <c r="G41" s="20" t="inlineStr">
        <is>
          <t>Generiek</t>
        </is>
      </c>
      <c r="H41" s="20" t="inlineStr">
        <is>
          <t>Holon als named graph met eventlog, grenzen (SHACL) en projecties; kandidaat voor de semantische en federatieve laag van twins</t>
        </is>
      </c>
      <c r="I41" s="20">
        <f>COUNTIF(Portfolio!$Q$2:$Q$500,"*"&amp;A41&amp;"*")</f>
        <v/>
      </c>
      <c r="J41" s="20" t="inlineStr">
        <is>
          <t>https://www.w3.org/community/holon/</t>
        </is>
      </c>
    </row>
  </sheetData>
  <autoFilter ref="A1:J34"/>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6.xml><?xml version="1.0" encoding="utf-8"?>
<worksheet xmlns="http://schemas.openxmlformats.org/spreadsheetml/2006/main">
  <sheetPr filterMode="0">
    <outlinePr summaryBelow="1" summaryRight="1"/>
    <pageSetUpPr fitToPage="0"/>
  </sheetPr>
  <dimension ref="A1:G270"/>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0" customWidth="1" style="14" min="1" max="1"/>
    <col width="40" customWidth="1" style="14" min="2" max="2"/>
    <col width="22" customWidth="1" style="14" min="3" max="3"/>
    <col width="14" customWidth="1" style="14" min="4" max="4"/>
    <col width="40" customWidth="1" style="14" min="5" max="5"/>
    <col width="50" customWidth="1" style="14" min="6" max="6"/>
    <col width="40" customWidth="1" style="14" min="7" max="7"/>
  </cols>
  <sheetData>
    <row r="1" ht="31.5" customHeight="1" s="15">
      <c r="A1" s="21" t="inlineStr">
        <is>
          <t>Van (ID)</t>
        </is>
      </c>
      <c r="B1" s="21" t="inlineStr">
        <is>
          <t>Van (naam)</t>
        </is>
      </c>
      <c r="C1" s="21" t="inlineStr">
        <is>
          <t>Relatie</t>
        </is>
      </c>
      <c r="D1" s="21" t="inlineStr">
        <is>
          <t>Naar (ID/code)</t>
        </is>
      </c>
      <c r="E1" s="21" t="inlineStr">
        <is>
          <t>Naar (naam)</t>
        </is>
      </c>
      <c r="F1" s="21" t="inlineStr">
        <is>
          <t>Toelichting</t>
        </is>
      </c>
      <c r="G1" s="21" t="inlineStr">
        <is>
          <t>Bron</t>
        </is>
      </c>
    </row>
    <row r="2" ht="28.35" customHeight="1" s="15">
      <c r="A2" s="20" t="inlineStr">
        <is>
          <t>DT-001</t>
        </is>
      </c>
      <c r="B2" s="20" t="inlineStr">
        <is>
          <t>Nationaal Plan Energiesysteem (NPE), actualisatie 2026</t>
        </is>
      </c>
      <c r="C2" s="20" t="inlineStr">
        <is>
          <t>sluit aan op kader</t>
        </is>
      </c>
      <c r="D2" s="20" t="inlineStr">
        <is>
          <t>NPE</t>
        </is>
      </c>
      <c r="E2" s="20" t="inlineStr">
        <is>
          <t>Nationaal Plan Energiesysteem (actualisatie 2026)</t>
        </is>
      </c>
      <c r="F2" s="20" t="n"/>
      <c r="G2" s="20" t="n"/>
    </row>
    <row r="3" ht="28.35" customHeight="1" s="15">
      <c r="A3" s="20" t="inlineStr">
        <is>
          <t>DT-002</t>
        </is>
      </c>
      <c r="B3" s="20" t="inlineStr">
        <is>
          <t>Actieagenda Digitalisering Energiesysteem (ADE)</t>
        </is>
      </c>
      <c r="C3" s="20" t="inlineStr">
        <is>
          <t>sluit aan op kader</t>
        </is>
      </c>
      <c r="D3" s="20" t="inlineStr">
        <is>
          <t>ADE</t>
        </is>
      </c>
      <c r="E3" s="20" t="inlineStr">
        <is>
          <t>Actieagenda Digitalisering Energiesysteem</t>
        </is>
      </c>
      <c r="F3" s="20" t="n"/>
      <c r="G3" s="20" t="n"/>
    </row>
    <row r="4" ht="28.35" customHeight="1" s="15">
      <c r="A4" s="20" t="inlineStr">
        <is>
          <t>DT-002</t>
        </is>
      </c>
      <c r="B4" s="20" t="inlineStr">
        <is>
          <t>Actieagenda Digitalisering Energiesysteem (ADE)</t>
        </is>
      </c>
      <c r="C4" s="20" t="inlineStr">
        <is>
          <t>sluit aan op kader</t>
        </is>
      </c>
      <c r="D4" s="20" t="inlineStr">
        <is>
          <t>NPE</t>
        </is>
      </c>
      <c r="E4" s="20" t="inlineStr">
        <is>
          <t>Nationaal Plan Energiesysteem (actualisatie 2026)</t>
        </is>
      </c>
      <c r="F4" s="20" t="n"/>
      <c r="G4" s="20" t="n"/>
    </row>
    <row r="5" ht="28.35" customHeight="1" s="15">
      <c r="A5" s="20" t="inlineStr">
        <is>
          <t>DT-003</t>
        </is>
      </c>
      <c r="B5" s="20" t="inlineStr">
        <is>
          <t>NEDRA: Nederlandse Energie Domein Referentie Architectuur</t>
        </is>
      </c>
      <c r="C5" s="20" t="inlineStr">
        <is>
          <t>sluit aan op kader</t>
        </is>
      </c>
      <c r="D5" s="20" t="inlineStr">
        <is>
          <t>NEDRA</t>
        </is>
      </c>
      <c r="E5" s="20" t="inlineStr">
        <is>
          <t>Nederlandse Energie Domein Referentie Architectuur</t>
        </is>
      </c>
      <c r="F5" s="20" t="n"/>
      <c r="G5" s="20" t="n"/>
    </row>
    <row r="6" ht="28.35" customHeight="1" s="15">
      <c r="A6" s="20" t="inlineStr">
        <is>
          <t>DT-003</t>
        </is>
      </c>
      <c r="B6" s="20" t="inlineStr">
        <is>
          <t>NEDRA: Nederlandse Energie Domein Referentie Architectuur</t>
        </is>
      </c>
      <c r="C6" s="20" t="inlineStr">
        <is>
          <t>sluit aan op kader</t>
        </is>
      </c>
      <c r="D6" s="20" t="inlineStr">
        <is>
          <t>ADE</t>
        </is>
      </c>
      <c r="E6" s="20" t="inlineStr">
        <is>
          <t>Actieagenda Digitalisering Energiesysteem</t>
        </is>
      </c>
      <c r="F6" s="20" t="n"/>
      <c r="G6" s="20" t="n"/>
    </row>
    <row r="7" ht="28.35" customHeight="1" s="15">
      <c r="A7" s="20" t="inlineStr">
        <is>
          <t>DT-003</t>
        </is>
      </c>
      <c r="B7" s="20" t="inlineStr">
        <is>
          <t>NEDRA: Nederlandse Energie Domein Referentie Architectuur</t>
        </is>
      </c>
      <c r="C7" s="20" t="inlineStr">
        <is>
          <t>sluit aan op kader</t>
        </is>
      </c>
      <c r="D7" s="20" t="inlineStr">
        <is>
          <t>SGAM</t>
        </is>
      </c>
      <c r="E7" s="20" t="inlineStr">
        <is>
          <t>Smart Grid Architecture Model</t>
        </is>
      </c>
      <c r="F7" s="20" t="n"/>
      <c r="G7" s="20" t="n"/>
    </row>
    <row r="8" ht="28.35" customHeight="1" s="15">
      <c r="A8" s="20" t="inlineStr">
        <is>
          <t>DT-003</t>
        </is>
      </c>
      <c r="B8" s="20" t="inlineStr">
        <is>
          <t>NEDRA: Nederlandse Energie Domein Referentie Architectuur</t>
        </is>
      </c>
      <c r="C8" s="20" t="inlineStr">
        <is>
          <t>gebruikt bouwsteen</t>
        </is>
      </c>
      <c r="D8" s="20" t="inlineStr">
        <is>
          <t>BS-CIM</t>
        </is>
      </c>
      <c r="E8" s="20" t="inlineStr">
        <is>
          <t>IEC CIM / CGMES</t>
        </is>
      </c>
      <c r="F8" s="20" t="n"/>
      <c r="G8" s="20" t="n"/>
    </row>
    <row r="9" ht="28.35" customHeight="1" s="15">
      <c r="A9" s="20" t="inlineStr">
        <is>
          <t>DT-003</t>
        </is>
      </c>
      <c r="B9" s="20" t="inlineStr">
        <is>
          <t>NEDRA: Nederlandse Energie Domein Referentie Architectuur</t>
        </is>
      </c>
      <c r="C9" s="20" t="inlineStr">
        <is>
          <t>gebruikt bouwsteen</t>
        </is>
      </c>
      <c r="D9" s="20" t="inlineStr">
        <is>
          <t>BS-NBILITY</t>
        </is>
      </c>
      <c r="E9" s="20" t="inlineStr">
        <is>
          <t>NBility</t>
        </is>
      </c>
      <c r="F9" s="20" t="n"/>
      <c r="G9" s="20" t="n"/>
    </row>
    <row r="10" ht="28.35" customHeight="1" s="15">
      <c r="A10" s="20" t="inlineStr">
        <is>
          <t>DT-003</t>
        </is>
      </c>
      <c r="B10" s="20" t="inlineStr">
        <is>
          <t>NEDRA: Nederlandse Energie Domein Referentie Architectuur</t>
        </is>
      </c>
      <c r="C10" s="20" t="inlineStr">
        <is>
          <t>gebruikt bouwsteen</t>
        </is>
      </c>
      <c r="D10" s="20" t="inlineStr">
        <is>
          <t>BS-SAREF</t>
        </is>
      </c>
      <c r="E10" s="20" t="inlineStr">
        <is>
          <t>SAREF</t>
        </is>
      </c>
      <c r="F10" s="20" t="n"/>
      <c r="G10" s="20" t="n"/>
    </row>
    <row r="11" ht="28.35" customHeight="1" s="15">
      <c r="A11" s="20" t="inlineStr">
        <is>
          <t>DT-003</t>
        </is>
      </c>
      <c r="B11" s="20" t="inlineStr">
        <is>
          <t>NEDRA: Nederlandse Energie Domein Referentie Architectuur</t>
        </is>
      </c>
      <c r="C11" s="20" t="inlineStr">
        <is>
          <t>gebruikt bouwsteen</t>
        </is>
      </c>
      <c r="D11" s="20" t="inlineStr">
        <is>
          <t>BS-USEF</t>
        </is>
      </c>
      <c r="E11" s="20" t="inlineStr">
        <is>
          <t>USEF / Shapeshifter (UFTP)</t>
        </is>
      </c>
      <c r="F11" s="20" t="n"/>
      <c r="G11" s="20" t="n"/>
    </row>
    <row r="12" ht="28.35" customHeight="1" s="15">
      <c r="A12" s="20" t="inlineStr">
        <is>
          <t>DT-003</t>
        </is>
      </c>
      <c r="B12" s="20" t="inlineStr">
        <is>
          <t>NEDRA: Nederlandse Energie Domein Referentie Architectuur</t>
        </is>
      </c>
      <c r="C12" s="20" t="inlineStr">
        <is>
          <t>gebruikt bouwsteen</t>
        </is>
      </c>
      <c r="D12" s="20" t="inlineStr">
        <is>
          <t>BS-S2</t>
        </is>
      </c>
      <c r="E12" s="20" t="inlineStr">
        <is>
          <t>EFI / S2 (EN 50491-12-2)</t>
        </is>
      </c>
      <c r="F12" s="20" t="n"/>
      <c r="G12" s="20" t="n"/>
    </row>
    <row r="13" ht="28.35" customHeight="1" s="15">
      <c r="A13" s="20" t="inlineStr">
        <is>
          <t>DT-003</t>
        </is>
      </c>
      <c r="B13" s="20" t="inlineStr">
        <is>
          <t>NEDRA: Nederlandse Energie Domein Referentie Architectuur</t>
        </is>
      </c>
      <c r="C13" s="20" t="inlineStr">
        <is>
          <t>gebruikt bouwsteen</t>
        </is>
      </c>
      <c r="D13" s="20" t="inlineStr">
        <is>
          <t>BS-OPENADR</t>
        </is>
      </c>
      <c r="E13" s="20" t="inlineStr">
        <is>
          <t>OpenADR (openLEADR)</t>
        </is>
      </c>
      <c r="F13" s="20" t="n"/>
      <c r="G13" s="20" t="n"/>
    </row>
    <row r="14" ht="28.35" customHeight="1" s="15">
      <c r="A14" s="20" t="inlineStr">
        <is>
          <t>DT-004</t>
        </is>
      </c>
      <c r="B14" s="20" t="inlineStr">
        <is>
          <t>EU Strategic Roadmap for Digitalisation and AI in Energy</t>
        </is>
      </c>
      <c r="C14" s="20" t="inlineStr">
        <is>
          <t>sluit aan op kader</t>
        </is>
      </c>
      <c r="D14" s="20" t="inlineStr">
        <is>
          <t>EU-RM26</t>
        </is>
      </c>
      <c r="E14" s="20" t="inlineStr">
        <is>
          <t>EU Strategic Roadmap for Digitalisation and AI in Energy (juni 2026)</t>
        </is>
      </c>
      <c r="F14" s="20" t="n"/>
      <c r="G14" s="20" t="n"/>
    </row>
    <row r="15" ht="28.35" customHeight="1" s="15">
      <c r="A15" s="20" t="inlineStr">
        <is>
          <t>DT-005</t>
        </is>
      </c>
      <c r="B15" s="20" t="inlineStr">
        <is>
          <t>EU Actieplan Digitalisering Energiesysteem (2022)</t>
        </is>
      </c>
      <c r="C15" s="20" t="inlineStr">
        <is>
          <t>sluit aan op kader</t>
        </is>
      </c>
      <c r="D15" s="20" t="inlineStr">
        <is>
          <t>EU-AP22</t>
        </is>
      </c>
      <c r="E15" s="20" t="inlineStr">
        <is>
          <t>EU Actieplan Digitalisering Energiesysteem (2022)</t>
        </is>
      </c>
      <c r="F15" s="20" t="n"/>
      <c r="G15" s="20" t="n"/>
    </row>
    <row r="16" ht="28.35" customHeight="1" s="15">
      <c r="A16" s="20" t="inlineStr">
        <is>
          <t>DT-006</t>
        </is>
      </c>
      <c r="B16" s="20" t="inlineStr">
        <is>
          <t>Programma Digitale Tweeling / NLDT-architectuur</t>
        </is>
      </c>
      <c r="C16" s="20" t="inlineStr">
        <is>
          <t>sluit aan op kader</t>
        </is>
      </c>
      <c r="D16" s="20" t="inlineStr">
        <is>
          <t>NLDT</t>
        </is>
      </c>
      <c r="E16" s="20" t="inlineStr">
        <is>
          <t>Programma Digitale Tweeling / NLDT-architectuur (nLDT)</t>
        </is>
      </c>
      <c r="F16" s="20" t="n"/>
      <c r="G16" s="20" t="n"/>
    </row>
    <row r="17" ht="28.35" customHeight="1" s="15">
      <c r="A17" s="20" t="inlineStr">
        <is>
          <t>DT-006</t>
        </is>
      </c>
      <c r="B17" s="20" t="inlineStr">
        <is>
          <t>Programma Digitale Tweeling / NLDT-architectuur</t>
        </is>
      </c>
      <c r="C17" s="20" t="inlineStr">
        <is>
          <t>gebruikt bouwsteen</t>
        </is>
      </c>
      <c r="D17" s="20" t="inlineStr">
        <is>
          <t>BS-CITYGML</t>
        </is>
      </c>
      <c r="E17" s="20" t="inlineStr">
        <is>
          <t>CityGML 3.0</t>
        </is>
      </c>
      <c r="F17" s="20" t="n"/>
      <c r="G17" s="20" t="n"/>
    </row>
    <row r="18" ht="28.35" customHeight="1" s="15">
      <c r="A18" s="20" t="inlineStr">
        <is>
          <t>DT-006</t>
        </is>
      </c>
      <c r="B18" s="20" t="inlineStr">
        <is>
          <t>Programma Digitale Tweeling / NLDT-architectuur</t>
        </is>
      </c>
      <c r="C18" s="20" t="inlineStr">
        <is>
          <t>gebruikt bouwsteen</t>
        </is>
      </c>
      <c r="D18" s="20" t="inlineStr">
        <is>
          <t>BS-3DTILES</t>
        </is>
      </c>
      <c r="E18" s="20" t="inlineStr">
        <is>
          <t>3D Tiles (Nederland)</t>
        </is>
      </c>
      <c r="F18" s="20" t="n"/>
      <c r="G18" s="20" t="n"/>
    </row>
    <row r="19" ht="15" customHeight="1" s="15">
      <c r="A19" s="20" t="inlineStr">
        <is>
          <t>DT-007</t>
        </is>
      </c>
      <c r="B19" s="20" t="inlineStr">
        <is>
          <t>SGAM: Smart Grid Architecture Model</t>
        </is>
      </c>
      <c r="C19" s="20" t="inlineStr">
        <is>
          <t>sluit aan op kader</t>
        </is>
      </c>
      <c r="D19" s="20" t="inlineStr">
        <is>
          <t>SGAM</t>
        </is>
      </c>
      <c r="E19" s="20" t="inlineStr">
        <is>
          <t>Smart Grid Architecture Model</t>
        </is>
      </c>
      <c r="F19" s="20" t="n"/>
      <c r="G19" s="20" t="n"/>
    </row>
    <row r="20" ht="28.35" customHeight="1" s="15">
      <c r="A20" s="20" t="inlineStr">
        <is>
          <t>DT-007</t>
        </is>
      </c>
      <c r="B20" s="20" t="inlineStr">
        <is>
          <t>SGAM: Smart Grid Architecture Model</t>
        </is>
      </c>
      <c r="C20" s="20" t="inlineStr">
        <is>
          <t>sluit aan op kader</t>
        </is>
      </c>
      <c r="D20" s="20" t="inlineStr">
        <is>
          <t>NEDRA</t>
        </is>
      </c>
      <c r="E20" s="20" t="inlineStr">
        <is>
          <t>Nederlandse Energie Domein Referentie Architectuur</t>
        </is>
      </c>
      <c r="F20" s="20" t="n"/>
      <c r="G20" s="20" t="n"/>
    </row>
    <row r="21" ht="15" customHeight="1" s="15">
      <c r="A21" s="20" t="inlineStr">
        <is>
          <t>DT-008</t>
        </is>
      </c>
      <c r="B21" s="20" t="inlineStr">
        <is>
          <t>DSGO: Digitaal Stelsel Gebouwde Omgeving</t>
        </is>
      </c>
      <c r="C21" s="20" t="inlineStr">
        <is>
          <t>sluit aan op kader</t>
        </is>
      </c>
      <c r="D21" s="20" t="inlineStr">
        <is>
          <t>DSGO</t>
        </is>
      </c>
      <c r="E21" s="20" t="inlineStr">
        <is>
          <t>Digitaal Stelsel Gebouwde Omgeving</t>
        </is>
      </c>
      <c r="F21" s="20" t="n"/>
      <c r="G21" s="20" t="n"/>
    </row>
    <row r="22" ht="28.35" customHeight="1" s="15">
      <c r="A22" s="20" t="inlineStr">
        <is>
          <t>DT-008</t>
        </is>
      </c>
      <c r="B22" s="20" t="inlineStr">
        <is>
          <t>DSGO: Digitaal Stelsel Gebouwde Omgeving</t>
        </is>
      </c>
      <c r="C22" s="20" t="inlineStr">
        <is>
          <t>sluit aan op kader</t>
        </is>
      </c>
      <c r="D22" s="20" t="inlineStr">
        <is>
          <t>NLDT</t>
        </is>
      </c>
      <c r="E22" s="20" t="inlineStr">
        <is>
          <t>Programma Digitale Tweeling / NLDT-architectuur (nLDT)</t>
        </is>
      </c>
      <c r="F22" s="20" t="n"/>
      <c r="G22" s="20" t="n"/>
    </row>
    <row r="23" ht="15" customHeight="1" s="15">
      <c r="A23" s="20" t="inlineStr">
        <is>
          <t>DT-008</t>
        </is>
      </c>
      <c r="B23" s="20" t="inlineStr">
        <is>
          <t>DSGO: Digitaal Stelsel Gebouwde Omgeving</t>
        </is>
      </c>
      <c r="C23" s="20" t="inlineStr">
        <is>
          <t>gebruikt bouwsteen</t>
        </is>
      </c>
      <c r="D23" s="20" t="inlineStr">
        <is>
          <t>BS-ISHARE</t>
        </is>
      </c>
      <c r="E23" s="20" t="inlineStr">
        <is>
          <t>iSHARE</t>
        </is>
      </c>
      <c r="F23" s="20" t="n"/>
      <c r="G23" s="20" t="n"/>
    </row>
    <row r="24" ht="28.35" customHeight="1" s="15">
      <c r="A24" s="20" t="inlineStr">
        <is>
          <t>DT-009</t>
        </is>
      </c>
      <c r="B24" s="20" t="inlineStr">
        <is>
          <t>EU Local Digital Twins: LDT CitiVERSE EDIC, LDT-toolbox en MIMs Plus</t>
        </is>
      </c>
      <c r="C24" s="20" t="inlineStr">
        <is>
          <t>sluit aan op kader</t>
        </is>
      </c>
      <c r="D24" s="20" t="inlineStr">
        <is>
          <t>EU-LDT</t>
        </is>
      </c>
      <c r="E24" s="20" t="inlineStr">
        <is>
          <t>EU Local Digital Twins (LDT CitiVERSE EDIC, LDT-toolbox, MIMs Plus)</t>
        </is>
      </c>
      <c r="F24" s="20" t="n"/>
      <c r="G24" s="20" t="n"/>
    </row>
    <row r="25" ht="28.35" customHeight="1" s="15">
      <c r="A25" s="20" t="inlineStr">
        <is>
          <t>DT-009</t>
        </is>
      </c>
      <c r="B25" s="20" t="inlineStr">
        <is>
          <t>EU Local Digital Twins: LDT CitiVERSE EDIC, LDT-toolbox en MIMs Plus</t>
        </is>
      </c>
      <c r="C25" s="20" t="inlineStr">
        <is>
          <t>gebruikt bouwsteen</t>
        </is>
      </c>
      <c r="D25" s="20" t="inlineStr">
        <is>
          <t>BS-NGSILD</t>
        </is>
      </c>
      <c r="E25" s="20" t="inlineStr">
        <is>
          <t>NGSI-LD / MIMs Plus</t>
        </is>
      </c>
      <c r="F25" s="20" t="n"/>
      <c r="G25" s="20" t="n"/>
    </row>
    <row r="26" ht="28.35" customHeight="1" s="15">
      <c r="A26" s="20" t="inlineStr">
        <is>
          <t>DT-012</t>
        </is>
      </c>
      <c r="B26" s="20" t="inlineStr">
        <is>
          <t>Nationale Faciliteit Digital Twin Elektriciteitssysteem</t>
        </is>
      </c>
      <c r="C26" s="20" t="inlineStr">
        <is>
          <t>sluit aan op kader</t>
        </is>
      </c>
      <c r="D26" s="20" t="inlineStr">
        <is>
          <t>ADE</t>
        </is>
      </c>
      <c r="E26" s="20" t="inlineStr">
        <is>
          <t>Actieagenda Digitalisering Energiesysteem</t>
        </is>
      </c>
      <c r="F26" s="20" t="n"/>
      <c r="G26" s="20" t="n"/>
    </row>
    <row r="27" ht="28.35" customHeight="1" s="15">
      <c r="A27" s="20" t="inlineStr">
        <is>
          <t>DT-012</t>
        </is>
      </c>
      <c r="B27" s="20" t="inlineStr">
        <is>
          <t>Nationale Faciliteit Digital Twin Elektriciteitssysteem</t>
        </is>
      </c>
      <c r="C27" s="20" t="inlineStr">
        <is>
          <t>sluit aan op kader</t>
        </is>
      </c>
      <c r="D27" s="20" t="inlineStr">
        <is>
          <t>NPE</t>
        </is>
      </c>
      <c r="E27" s="20" t="inlineStr">
        <is>
          <t>Nationaal Plan Energiesysteem (actualisatie 2026)</t>
        </is>
      </c>
      <c r="F27" s="20" t="n"/>
      <c r="G27" s="20" t="n"/>
    </row>
    <row r="28" ht="28.35" customHeight="1" s="15">
      <c r="A28" s="20" t="inlineStr">
        <is>
          <t>DT-013</t>
        </is>
      </c>
      <c r="B28" s="20" t="inlineStr">
        <is>
          <t>KIC 'Unlocking Digital Twin Capabilities for Electricity Utilities'</t>
        </is>
      </c>
      <c r="C28" s="20" t="inlineStr">
        <is>
          <t>sluit aan op kader</t>
        </is>
      </c>
      <c r="D28" s="20" t="inlineStr">
        <is>
          <t>ADE</t>
        </is>
      </c>
      <c r="E28" s="20" t="inlineStr">
        <is>
          <t>Actieagenda Digitalisering Energiesysteem</t>
        </is>
      </c>
      <c r="F28" s="20" t="n"/>
      <c r="G28" s="20" t="n"/>
    </row>
    <row r="29" ht="41.75" customHeight="1" s="15">
      <c r="A29" s="20" t="inlineStr">
        <is>
          <t>DT-013</t>
        </is>
      </c>
      <c r="B29" s="20" t="inlineStr">
        <is>
          <t>KIC 'Unlocking Digital Twin Capabilities for Electricity Utilities'</t>
        </is>
      </c>
      <c r="C29" s="20" t="inlineStr">
        <is>
          <t>sluit aan op kader</t>
        </is>
      </c>
      <c r="D29" s="20" t="inlineStr">
        <is>
          <t>TSE-INNOV</t>
        </is>
      </c>
      <c r="E29" s="20" t="inlineStr">
        <is>
          <t>NL innovatie-instrumentarium (MOOI, KIC, Systeemintegratie, energiehubs, Nationaal Groeifonds)</t>
        </is>
      </c>
      <c r="F29" s="20" t="n"/>
      <c r="G29" s="20" t="n"/>
    </row>
    <row r="30" ht="15" customHeight="1" s="15">
      <c r="A30" s="20" t="inlineStr">
        <is>
          <t>DT-014</t>
        </is>
      </c>
      <c r="B30" s="20" t="inlineStr">
        <is>
          <t>Control Room of the Future en Digital Twin elektriciteitsnetwerk (ESP-lab TU Delft)</t>
        </is>
      </c>
      <c r="C30" s="20" t="inlineStr">
        <is>
          <t>sluit aan op kader</t>
        </is>
      </c>
      <c r="D30" s="20" t="inlineStr">
        <is>
          <t>ADE</t>
        </is>
      </c>
      <c r="E30" s="20" t="inlineStr">
        <is>
          <t>Actieagenda Digitalisering Energiesysteem</t>
        </is>
      </c>
      <c r="F30" s="20" t="n"/>
      <c r="G30" s="20" t="n"/>
    </row>
    <row r="31" ht="28.35" customHeight="1" s="15">
      <c r="A31" s="20" t="inlineStr">
        <is>
          <t>DT-014</t>
        </is>
      </c>
      <c r="B31" s="20" t="inlineStr">
        <is>
          <t>Control Room of the Future en Digital Twin elektriciteitsnetwerk (ESP-lab TU Delft)</t>
        </is>
      </c>
      <c r="C31" s="20" t="inlineStr">
        <is>
          <t>sluit aan op kader</t>
        </is>
      </c>
      <c r="D31" s="20" t="inlineStr">
        <is>
          <t>HORIZON</t>
        </is>
      </c>
      <c r="E31" s="20" t="inlineStr">
        <is>
          <t>Horizon 2020 / Horizon Europe (incl. BRIDGE-cluster)</t>
        </is>
      </c>
      <c r="F31" s="20" t="n"/>
      <c r="G31" s="20" t="n"/>
    </row>
    <row r="32" ht="28.35" customHeight="1" s="15">
      <c r="A32" s="20" t="inlineStr">
        <is>
          <t>DT-015</t>
        </is>
      </c>
      <c r="B32" s="20" t="inlineStr">
        <is>
          <t>TU Delft / TenneT simulatie Nederlands transportnet</t>
        </is>
      </c>
      <c r="C32" s="20" t="inlineStr">
        <is>
          <t>sluit aan op kader</t>
        </is>
      </c>
      <c r="D32" s="20" t="inlineStr">
        <is>
          <t>ADE</t>
        </is>
      </c>
      <c r="E32" s="20" t="inlineStr">
        <is>
          <t>Actieagenda Digitalisering Energiesysteem</t>
        </is>
      </c>
      <c r="F32" s="20" t="n"/>
      <c r="G32" s="20" t="n"/>
    </row>
    <row r="33" ht="28.35" customHeight="1" s="15">
      <c r="A33" s="20" t="inlineStr">
        <is>
          <t>DT-015</t>
        </is>
      </c>
      <c r="B33" s="20" t="inlineStr">
        <is>
          <t>TU Delft / TenneT simulatie Nederlands transportnet</t>
        </is>
      </c>
      <c r="C33" s="20" t="inlineStr">
        <is>
          <t>gebruikt bouwsteen</t>
        </is>
      </c>
      <c r="D33" s="20" t="inlineStr">
        <is>
          <t>BS-CIM</t>
        </is>
      </c>
      <c r="E33" s="20" t="inlineStr">
        <is>
          <t>IEC CIM / CGMES</t>
        </is>
      </c>
      <c r="F33" s="20" t="n"/>
      <c r="G33" s="20" t="n"/>
    </row>
    <row r="34" ht="41.75" customHeight="1" s="15">
      <c r="A34" s="20" t="inlineStr">
        <is>
          <t>DT-016</t>
        </is>
      </c>
      <c r="B34" s="20" t="inlineStr">
        <is>
          <t>SynergyS: Smart Multi-Commodity Energy System</t>
        </is>
      </c>
      <c r="C34" s="20" t="inlineStr">
        <is>
          <t>sluit aan op kader</t>
        </is>
      </c>
      <c r="D34" s="20" t="inlineStr">
        <is>
          <t>TSE-INNOV</t>
        </is>
      </c>
      <c r="E34" s="20" t="inlineStr">
        <is>
          <t>NL innovatie-instrumentarium (MOOI, KIC, Systeemintegratie, energiehubs, Nationaal Groeifonds)</t>
        </is>
      </c>
      <c r="F34" s="20" t="n"/>
      <c r="G34" s="20" t="n"/>
    </row>
    <row r="35" ht="28.35" customHeight="1" s="15">
      <c r="A35" s="20" t="inlineStr">
        <is>
          <t>DT-017</t>
        </is>
      </c>
      <c r="B35" s="20" t="inlineStr">
        <is>
          <t>Digital Twin as a Service-testbeds (Geonovum)</t>
        </is>
      </c>
      <c r="C35" s="20" t="inlineStr">
        <is>
          <t>sluit aan op kader</t>
        </is>
      </c>
      <c r="D35" s="20" t="inlineStr">
        <is>
          <t>NLDT</t>
        </is>
      </c>
      <c r="E35" s="20" t="inlineStr">
        <is>
          <t>Programma Digitale Tweeling / NLDT-architectuur (nLDT)</t>
        </is>
      </c>
      <c r="F35" s="20" t="n"/>
      <c r="G35" s="20" t="n"/>
    </row>
    <row r="36" ht="41.75" customHeight="1" s="15">
      <c r="A36" s="20" t="inlineStr">
        <is>
          <t>DT-018</t>
        </is>
      </c>
      <c r="B36" s="20" t="inlineStr">
        <is>
          <t>Fieldlabs nDTFL (Flevoland/Almere, Utrecht/Amersfoort, RWS, Nijmegen, Zuid-Holland, Breda/Den Bosch)</t>
        </is>
      </c>
      <c r="C36" s="20" t="inlineStr">
        <is>
          <t>sluit aan op kader</t>
        </is>
      </c>
      <c r="D36" s="20" t="inlineStr">
        <is>
          <t>NLDT</t>
        </is>
      </c>
      <c r="E36" s="20" t="inlineStr">
        <is>
          <t>Programma Digitale Tweeling / NLDT-architectuur (nLDT)</t>
        </is>
      </c>
      <c r="F36" s="20" t="n"/>
      <c r="G36" s="20" t="n"/>
    </row>
    <row r="37" ht="41.75" customHeight="1" s="15">
      <c r="A37" s="20" t="inlineStr">
        <is>
          <t>DT-024</t>
        </is>
      </c>
      <c r="B37" s="20" t="inlineStr">
        <is>
          <t>Realtime systeemwerking voor netwerkverbetering en transportefficiëntie (MOOI)</t>
        </is>
      </c>
      <c r="C37" s="20" t="inlineStr">
        <is>
          <t>sluit aan op kader</t>
        </is>
      </c>
      <c r="D37" s="20" t="inlineStr">
        <is>
          <t>TSE-INNOV</t>
        </is>
      </c>
      <c r="E37" s="20" t="inlineStr">
        <is>
          <t>NL innovatie-instrumentarium (MOOI, KIC, Systeemintegratie, energiehubs, Nationaal Groeifonds)</t>
        </is>
      </c>
      <c r="F37" s="20" t="n"/>
      <c r="G37" s="20" t="n"/>
    </row>
    <row r="38" ht="41.75" customHeight="1" s="15">
      <c r="A38" s="20" t="inlineStr">
        <is>
          <t>DT-024</t>
        </is>
      </c>
      <c r="B38" s="20" t="inlineStr">
        <is>
          <t>Realtime systeemwerking voor netwerkverbetering en transportefficiëntie (MOOI)</t>
        </is>
      </c>
      <c r="C38" s="20" t="inlineStr">
        <is>
          <t>sluit aan op kader</t>
        </is>
      </c>
      <c r="D38" s="20" t="inlineStr">
        <is>
          <t>ADE</t>
        </is>
      </c>
      <c r="E38" s="20" t="inlineStr">
        <is>
          <t>Actieagenda Digitalisering Energiesysteem</t>
        </is>
      </c>
      <c r="F38" s="20" t="n"/>
      <c r="G38" s="20" t="n"/>
    </row>
    <row r="39" ht="41.75" customHeight="1" s="15">
      <c r="A39" s="20" t="inlineStr">
        <is>
          <t>DT-025</t>
        </is>
      </c>
      <c r="B39" s="20" t="inlineStr">
        <is>
          <t>ORKEST: actief capaciteitsbeheer en asset intelligence (MOOI)</t>
        </is>
      </c>
      <c r="C39" s="20" t="inlineStr">
        <is>
          <t>sluit aan op kader</t>
        </is>
      </c>
      <c r="D39" s="20" t="inlineStr">
        <is>
          <t>TSE-INNOV</t>
        </is>
      </c>
      <c r="E39" s="20" t="inlineStr">
        <is>
          <t>NL innovatie-instrumentarium (MOOI, KIC, Systeemintegratie, energiehubs, Nationaal Groeifonds)</t>
        </is>
      </c>
      <c r="F39" s="20" t="n"/>
      <c r="G39" s="20" t="n"/>
    </row>
    <row r="40" ht="28.35" customHeight="1" s="15">
      <c r="A40" s="20" t="inlineStr">
        <is>
          <t>DT-028</t>
        </is>
      </c>
      <c r="B40" s="20" t="inlineStr">
        <is>
          <t>ORTESE Emmen: digital twin/shadow lokaal energiesysteem (incl. PRIME)</t>
        </is>
      </c>
      <c r="C40" s="20" t="inlineStr">
        <is>
          <t>sluit aan op kader</t>
        </is>
      </c>
      <c r="D40" s="20" t="inlineStr">
        <is>
          <t>NEDRA</t>
        </is>
      </c>
      <c r="E40" s="20" t="inlineStr">
        <is>
          <t>Nederlandse Energie Domein Referentie Architectuur</t>
        </is>
      </c>
      <c r="F40" s="20" t="n"/>
      <c r="G40" s="20" t="n"/>
    </row>
    <row r="41" ht="28.35" customHeight="1" s="15">
      <c r="A41" s="20" t="inlineStr">
        <is>
          <t>DT-028</t>
        </is>
      </c>
      <c r="B41" s="20" t="inlineStr">
        <is>
          <t>ORTESE Emmen: digital twin/shadow lokaal energiesysteem (incl. PRIME)</t>
        </is>
      </c>
      <c r="C41" s="20" t="inlineStr">
        <is>
          <t>sluit aan op kader</t>
        </is>
      </c>
      <c r="D41" s="20" t="inlineStr">
        <is>
          <t>NPE</t>
        </is>
      </c>
      <c r="E41" s="20" t="inlineStr">
        <is>
          <t>Nationaal Plan Energiesysteem (actualisatie 2026)</t>
        </is>
      </c>
      <c r="F41" s="20" t="n"/>
      <c r="G41" s="20" t="n"/>
    </row>
    <row r="42" ht="41.75" customHeight="1" s="15">
      <c r="A42" s="20" t="inlineStr">
        <is>
          <t>DT-028</t>
        </is>
      </c>
      <c r="B42" s="20" t="inlineStr">
        <is>
          <t>ORTESE Emmen: digital twin/shadow lokaal energiesysteem (incl. PRIME)</t>
        </is>
      </c>
      <c r="C42" s="20" t="inlineStr">
        <is>
          <t>sluit aan op kader</t>
        </is>
      </c>
      <c r="D42" s="20" t="inlineStr">
        <is>
          <t>TSE-INNOV</t>
        </is>
      </c>
      <c r="E42" s="20" t="inlineStr">
        <is>
          <t>NL innovatie-instrumentarium (MOOI, KIC, Systeemintegratie, energiehubs, Nationaal Groeifonds)</t>
        </is>
      </c>
      <c r="F42" s="20" t="n"/>
      <c r="G42" s="20" t="n"/>
    </row>
    <row r="43" ht="28.35" customHeight="1" s="15">
      <c r="A43" s="20" t="inlineStr">
        <is>
          <t>DT-028</t>
        </is>
      </c>
      <c r="B43" s="20" t="inlineStr">
        <is>
          <t>ORTESE Emmen: digital twin/shadow lokaal energiesysteem (incl. PRIME)</t>
        </is>
      </c>
      <c r="C43" s="20" t="inlineStr">
        <is>
          <t>gebruikt bouwsteen</t>
        </is>
      </c>
      <c r="D43" s="20" t="inlineStr">
        <is>
          <t>BS-ETM</t>
        </is>
      </c>
      <c r="E43" s="20" t="inlineStr">
        <is>
          <t>Energy Transition Model</t>
        </is>
      </c>
      <c r="F43" s="20" t="n"/>
      <c r="G43" s="20" t="n"/>
    </row>
    <row r="44" ht="28.35" customHeight="1" s="15">
      <c r="A44" s="20" t="inlineStr">
        <is>
          <t>DT-028</t>
        </is>
      </c>
      <c r="B44" s="20" t="inlineStr">
        <is>
          <t>ORTESE Emmen: digital twin/shadow lokaal energiesysteem (incl. PRIME)</t>
        </is>
      </c>
      <c r="C44" s="20" t="inlineStr">
        <is>
          <t>gebruikt bouwsteen</t>
        </is>
      </c>
      <c r="D44" s="20" t="inlineStr">
        <is>
          <t>BS-ESDL</t>
        </is>
      </c>
      <c r="E44" s="20" t="inlineStr">
        <is>
          <t>ESDL (+ MapEditor, ESSIM)</t>
        </is>
      </c>
      <c r="F44" s="20" t="n"/>
      <c r="G44" s="20" t="n"/>
    </row>
    <row r="45" ht="28.35" customHeight="1" s="15">
      <c r="A45" s="20" t="inlineStr">
        <is>
          <t>DT-029</t>
        </is>
      </c>
      <c r="B45" s="20" t="inlineStr">
        <is>
          <t>Port of Rotterdam: Virtual Energy System (VES)</t>
        </is>
      </c>
      <c r="C45" s="20" t="inlineStr">
        <is>
          <t>sluit aan op kader</t>
        </is>
      </c>
      <c r="D45" s="20" t="inlineStr">
        <is>
          <t>NPE</t>
        </is>
      </c>
      <c r="E45" s="20" t="inlineStr">
        <is>
          <t>Nationaal Plan Energiesysteem (actualisatie 2026)</t>
        </is>
      </c>
      <c r="F45" s="20" t="n"/>
      <c r="G45" s="20" t="n"/>
    </row>
    <row r="46" ht="15" customHeight="1" s="15">
      <c r="A46" s="20" t="inlineStr">
        <is>
          <t>DT-031</t>
        </is>
      </c>
      <c r="B46" s="20" t="inlineStr">
        <is>
          <t>Digital Twin Drechtsteden (HOLON/ZEnMo)</t>
        </is>
      </c>
      <c r="C46" s="20" t="inlineStr">
        <is>
          <t>sluit aan op kader</t>
        </is>
      </c>
      <c r="D46" s="20" t="inlineStr">
        <is>
          <t>ADE</t>
        </is>
      </c>
      <c r="E46" s="20" t="inlineStr">
        <is>
          <t>Actieagenda Digitalisering Energiesysteem</t>
        </is>
      </c>
      <c r="F46" s="20" t="n"/>
      <c r="G46" s="20" t="n"/>
    </row>
    <row r="47" ht="41.75" customHeight="1" s="15">
      <c r="A47" s="20" t="inlineStr">
        <is>
          <t>DT-031</t>
        </is>
      </c>
      <c r="B47" s="20" t="inlineStr">
        <is>
          <t>Digital Twin Drechtsteden (HOLON/ZEnMo)</t>
        </is>
      </c>
      <c r="C47" s="20" t="inlineStr">
        <is>
          <t>sluit aan op kader</t>
        </is>
      </c>
      <c r="D47" s="20" t="inlineStr">
        <is>
          <t>TSE-INNOV</t>
        </is>
      </c>
      <c r="E47" s="20" t="inlineStr">
        <is>
          <t>NL innovatie-instrumentarium (MOOI, KIC, Systeemintegratie, energiehubs, Nationaal Groeifonds)</t>
        </is>
      </c>
      <c r="F47" s="20" t="n"/>
      <c r="G47" s="20" t="n"/>
    </row>
    <row r="48" ht="28.35" customHeight="1" s="15">
      <c r="A48" s="20" t="inlineStr">
        <is>
          <t>DT-031</t>
        </is>
      </c>
      <c r="B48" s="20" t="inlineStr">
        <is>
          <t>Digital Twin Drechtsteden (HOLON/ZEnMo)</t>
        </is>
      </c>
      <c r="C48" s="20" t="inlineStr">
        <is>
          <t>sluit aan op kader</t>
        </is>
      </c>
      <c r="D48" s="20" t="inlineStr">
        <is>
          <t>NLDT</t>
        </is>
      </c>
      <c r="E48" s="20" t="inlineStr">
        <is>
          <t>Programma Digitale Tweeling / NLDT-architectuur (nLDT)</t>
        </is>
      </c>
      <c r="F48" s="20" t="n"/>
      <c r="G48" s="20" t="n"/>
    </row>
    <row r="49" ht="15" customHeight="1" s="15">
      <c r="A49" s="20" t="inlineStr">
        <is>
          <t>DT-031</t>
        </is>
      </c>
      <c r="B49" s="20" t="inlineStr">
        <is>
          <t>Digital Twin Drechtsteden (HOLON/ZEnMo)</t>
        </is>
      </c>
      <c r="C49" s="20" t="inlineStr">
        <is>
          <t>gebruikt bouwsteen</t>
        </is>
      </c>
      <c r="D49" s="20" t="inlineStr">
        <is>
          <t>BS-HOLON</t>
        </is>
      </c>
      <c r="E49" s="20" t="inlineStr">
        <is>
          <t>HOLON-model (ZEnMo)</t>
        </is>
      </c>
      <c r="F49" s="20" t="n"/>
      <c r="G49" s="20" t="n"/>
    </row>
    <row r="50" ht="41.75" customHeight="1" s="15">
      <c r="A50" s="20" t="inlineStr">
        <is>
          <t>DT-032</t>
        </is>
      </c>
      <c r="B50" s="20" t="inlineStr">
        <is>
          <t>Amersfoort De Wieken-Vinkenhoef energiehub-twin</t>
        </is>
      </c>
      <c r="C50" s="20" t="inlineStr">
        <is>
          <t>sluit aan op kader</t>
        </is>
      </c>
      <c r="D50" s="20" t="inlineStr">
        <is>
          <t>TSE-INNOV</t>
        </is>
      </c>
      <c r="E50" s="20" t="inlineStr">
        <is>
          <t>NL innovatie-instrumentarium (MOOI, KIC, Systeemintegratie, energiehubs, Nationaal Groeifonds)</t>
        </is>
      </c>
      <c r="F50" s="20" t="n"/>
      <c r="G50" s="20" t="n"/>
    </row>
    <row r="51" ht="28.35" customHeight="1" s="15">
      <c r="A51" s="20" t="inlineStr">
        <is>
          <t>DT-032</t>
        </is>
      </c>
      <c r="B51" s="20" t="inlineStr">
        <is>
          <t>Amersfoort De Wieken-Vinkenhoef energiehub-twin</t>
        </is>
      </c>
      <c r="C51" s="20" t="inlineStr">
        <is>
          <t>gebruikt bouwsteen</t>
        </is>
      </c>
      <c r="D51" s="20" t="inlineStr">
        <is>
          <t>BS-HOLON</t>
        </is>
      </c>
      <c r="E51" s="20" t="inlineStr">
        <is>
          <t>HOLON-model (ZEnMo)</t>
        </is>
      </c>
      <c r="F51" s="20" t="n"/>
      <c r="G51" s="20" t="n"/>
    </row>
    <row r="52" ht="41.75" customHeight="1" s="15">
      <c r="A52" s="20" t="inlineStr">
        <is>
          <t>DT-033</t>
        </is>
      </c>
      <c r="B52" s="20" t="inlineStr">
        <is>
          <t>Energy Hub Optimizer: ECAH Amsterdamse haven</t>
        </is>
      </c>
      <c r="C52" s="20" t="inlineStr">
        <is>
          <t>sluit aan op kader</t>
        </is>
      </c>
      <c r="D52" s="20" t="inlineStr">
        <is>
          <t>TSE-INNOV</t>
        </is>
      </c>
      <c r="E52" s="20" t="inlineStr">
        <is>
          <t>NL innovatie-instrumentarium (MOOI, KIC, Systeemintegratie, energiehubs, Nationaal Groeifonds)</t>
        </is>
      </c>
      <c r="F52" s="20" t="n"/>
      <c r="G52" s="20" t="n"/>
    </row>
    <row r="53" ht="15" customHeight="1" s="15">
      <c r="A53" s="20" t="inlineStr">
        <is>
          <t>DT-034</t>
        </is>
      </c>
      <c r="B53" s="20" t="inlineStr">
        <is>
          <t>TU Delft campusnet-twin (Argaleo)</t>
        </is>
      </c>
      <c r="C53" s="20" t="inlineStr">
        <is>
          <t>sluit aan op kader</t>
        </is>
      </c>
      <c r="D53" s="20" t="inlineStr">
        <is>
          <t>ADE</t>
        </is>
      </c>
      <c r="E53" s="20" t="inlineStr">
        <is>
          <t>Actieagenda Digitalisering Energiesysteem</t>
        </is>
      </c>
      <c r="F53" s="20" t="n"/>
      <c r="G53" s="20" t="n"/>
    </row>
    <row r="54" ht="15" customHeight="1" s="15">
      <c r="A54" s="20" t="inlineStr">
        <is>
          <t>DT-035</t>
        </is>
      </c>
      <c r="B54" s="20" t="inlineStr">
        <is>
          <t>Liander: Gridscale X LV Insights</t>
        </is>
      </c>
      <c r="C54" s="20" t="inlineStr">
        <is>
          <t>sluit aan op kader</t>
        </is>
      </c>
      <c r="D54" s="20" t="inlineStr">
        <is>
          <t>ADE</t>
        </is>
      </c>
      <c r="E54" s="20" t="inlineStr">
        <is>
          <t>Actieagenda Digitalisering Energiesysteem</t>
        </is>
      </c>
      <c r="F54" s="20" t="n"/>
      <c r="G54" s="20" t="n"/>
    </row>
    <row r="55" ht="15" customHeight="1" s="15">
      <c r="A55" s="20" t="inlineStr">
        <is>
          <t>DT-036</t>
        </is>
      </c>
      <c r="B55" s="20" t="inlineStr">
        <is>
          <t>Liander: digitale assetinventaris (Grid Vision)</t>
        </is>
      </c>
      <c r="C55" s="20" t="inlineStr">
        <is>
          <t>sluit aan op kader</t>
        </is>
      </c>
      <c r="D55" s="20" t="inlineStr">
        <is>
          <t>ADE</t>
        </is>
      </c>
      <c r="E55" s="20" t="inlineStr">
        <is>
          <t>Actieagenda Digitalisering Energiesysteem</t>
        </is>
      </c>
      <c r="F55" s="20" t="n"/>
      <c r="G55" s="20" t="n"/>
    </row>
    <row r="56" ht="15" customHeight="1" s="15">
      <c r="A56" s="20" t="inlineStr">
        <is>
          <t>DT-037</t>
        </is>
      </c>
      <c r="B56" s="20" t="inlineStr">
        <is>
          <t>Stedin: netmodellen en scenario's</t>
        </is>
      </c>
      <c r="C56" s="20" t="inlineStr">
        <is>
          <t>sluit aan op kader</t>
        </is>
      </c>
      <c r="D56" s="20" t="inlineStr">
        <is>
          <t>ADE</t>
        </is>
      </c>
      <c r="E56" s="20" t="inlineStr">
        <is>
          <t>Actieagenda Digitalisering Energiesysteem</t>
        </is>
      </c>
      <c r="F56" s="20" t="n"/>
      <c r="G56" s="20" t="n"/>
    </row>
    <row r="57" ht="28.35" customHeight="1" s="15">
      <c r="A57" s="20" t="inlineStr">
        <is>
          <t>DT-038</t>
        </is>
      </c>
      <c r="B57" s="20" t="inlineStr">
        <is>
          <t>TenneT: netplanning met Destination Earth-data</t>
        </is>
      </c>
      <c r="C57" s="20" t="inlineStr">
        <is>
          <t>sluit aan op kader</t>
        </is>
      </c>
      <c r="D57" s="20" t="inlineStr">
        <is>
          <t>DESTINE</t>
        </is>
      </c>
      <c r="E57" s="20" t="inlineStr">
        <is>
          <t>Destination Earth</t>
        </is>
      </c>
      <c r="F57" s="20" t="n"/>
      <c r="G57" s="20" t="n"/>
    </row>
    <row r="58" ht="28.35" customHeight="1" s="15">
      <c r="A58" s="20" t="inlineStr">
        <is>
          <t>DT-038</t>
        </is>
      </c>
      <c r="B58" s="20" t="inlineStr">
        <is>
          <t>TenneT: netplanning met Destination Earth-data</t>
        </is>
      </c>
      <c r="C58" s="20" t="inlineStr">
        <is>
          <t>sluit aan op kader</t>
        </is>
      </c>
      <c r="D58" s="20" t="inlineStr">
        <is>
          <t>NPE</t>
        </is>
      </c>
      <c r="E58" s="20" t="inlineStr">
        <is>
          <t>Nationaal Plan Energiesysteem (actualisatie 2026)</t>
        </is>
      </c>
      <c r="F58" s="20" t="n"/>
      <c r="G58" s="20" t="n"/>
    </row>
    <row r="59" ht="15" customHeight="1" s="15">
      <c r="A59" s="20" t="inlineStr">
        <is>
          <t>DT-040</t>
        </is>
      </c>
      <c r="B59" s="20" t="inlineStr">
        <is>
          <t>Enexis x gemeente Deventer: tracéontwerp</t>
        </is>
      </c>
      <c r="C59" s="20" t="inlineStr">
        <is>
          <t>sluit aan op kader</t>
        </is>
      </c>
      <c r="D59" s="20" t="inlineStr">
        <is>
          <t>ADE</t>
        </is>
      </c>
      <c r="E59" s="20" t="inlineStr">
        <is>
          <t>Actieagenda Digitalisering Energiesysteem</t>
        </is>
      </c>
      <c r="F59" s="20" t="n"/>
      <c r="G59" s="20" t="n"/>
    </row>
    <row r="60" ht="15" customHeight="1" s="15">
      <c r="A60" s="20" t="inlineStr">
        <is>
          <t>DT-041</t>
        </is>
      </c>
      <c r="B60" s="20" t="inlineStr">
        <is>
          <t>Digital Twin LS Flex</t>
        </is>
      </c>
      <c r="C60" s="20" t="inlineStr">
        <is>
          <t>sluit aan op kader</t>
        </is>
      </c>
      <c r="D60" s="20" t="inlineStr">
        <is>
          <t>ADE</t>
        </is>
      </c>
      <c r="E60" s="20" t="inlineStr">
        <is>
          <t>Actieagenda Digitalisering Energiesysteem</t>
        </is>
      </c>
      <c r="F60" s="20" t="n"/>
      <c r="G60" s="20" t="n"/>
    </row>
    <row r="61" ht="28.35" customHeight="1" s="15">
      <c r="A61" s="20" t="inlineStr">
        <is>
          <t>DT-044</t>
        </is>
      </c>
      <c r="B61" s="20" t="inlineStr">
        <is>
          <t>Smart Twin: woningvoorraad warmtetransitie</t>
        </is>
      </c>
      <c r="C61" s="20" t="inlineStr">
        <is>
          <t>sluit aan op kader</t>
        </is>
      </c>
      <c r="D61" s="20" t="inlineStr">
        <is>
          <t>NPE</t>
        </is>
      </c>
      <c r="E61" s="20" t="inlineStr">
        <is>
          <t>Nationaal Plan Energiesysteem (actualisatie 2026)</t>
        </is>
      </c>
      <c r="F61" s="20" t="n"/>
      <c r="G61" s="20" t="n"/>
    </row>
    <row r="62" ht="15" customHeight="1" s="15">
      <c r="A62" s="20" t="inlineStr">
        <is>
          <t>DT-045</t>
        </is>
      </c>
      <c r="B62" s="20" t="inlineStr">
        <is>
          <t>VB Optimum gebouw-twin (o.a. Avans)</t>
        </is>
      </c>
      <c r="C62" s="20" t="inlineStr">
        <is>
          <t>sluit aan op kader</t>
        </is>
      </c>
      <c r="D62" s="20" t="inlineStr">
        <is>
          <t>ADE</t>
        </is>
      </c>
      <c r="E62" s="20" t="inlineStr">
        <is>
          <t>Actieagenda Digitalisering Energiesysteem</t>
        </is>
      </c>
      <c r="F62" s="20" t="n"/>
      <c r="G62" s="20" t="n"/>
    </row>
    <row r="63" ht="41.75" customHeight="1" s="15">
      <c r="A63" s="20" t="inlineStr">
        <is>
          <t>DT-046</t>
        </is>
      </c>
      <c r="B63" s="20" t="inlineStr">
        <is>
          <t>Energiehub-twins provincie Utrecht</t>
        </is>
      </c>
      <c r="C63" s="20" t="inlineStr">
        <is>
          <t>sluit aan op kader</t>
        </is>
      </c>
      <c r="D63" s="20" t="inlineStr">
        <is>
          <t>TSE-INNOV</t>
        </is>
      </c>
      <c r="E63" s="20" t="inlineStr">
        <is>
          <t>NL innovatie-instrumentarium (MOOI, KIC, Systeemintegratie, energiehubs, Nationaal Groeifonds)</t>
        </is>
      </c>
      <c r="F63" s="20" t="n"/>
      <c r="G63" s="20" t="n"/>
    </row>
    <row r="64" ht="28.35" customHeight="1" s="15">
      <c r="A64" s="20" t="inlineStr">
        <is>
          <t>DT-047</t>
        </is>
      </c>
      <c r="B64" s="20" t="inlineStr">
        <is>
          <t>TwinTwente (TwinValley)</t>
        </is>
      </c>
      <c r="C64" s="20" t="inlineStr">
        <is>
          <t>sluit aan op kader</t>
        </is>
      </c>
      <c r="D64" s="20" t="inlineStr">
        <is>
          <t>NLDT</t>
        </is>
      </c>
      <c r="E64" s="20" t="inlineStr">
        <is>
          <t>Programma Digitale Tweeling / NLDT-architectuur (nLDT)</t>
        </is>
      </c>
      <c r="F64" s="20" t="n"/>
      <c r="G64" s="20" t="n"/>
    </row>
    <row r="65" ht="15" customHeight="1" s="15">
      <c r="A65" s="20" t="inlineStr">
        <is>
          <t>DT-047</t>
        </is>
      </c>
      <c r="B65" s="20" t="inlineStr">
        <is>
          <t>TwinTwente (TwinValley)</t>
        </is>
      </c>
      <c r="C65" s="20" t="inlineStr">
        <is>
          <t>sluit aan op kader</t>
        </is>
      </c>
      <c r="D65" s="20" t="inlineStr">
        <is>
          <t>DSGO</t>
        </is>
      </c>
      <c r="E65" s="20" t="inlineStr">
        <is>
          <t>Digitaal Stelsel Gebouwde Omgeving</t>
        </is>
      </c>
      <c r="F65" s="20" t="n"/>
      <c r="G65" s="20" t="n"/>
    </row>
    <row r="66" ht="28.35" customHeight="1" s="15">
      <c r="A66" s="20" t="inlineStr">
        <is>
          <t>DT-047</t>
        </is>
      </c>
      <c r="B66" s="20" t="inlineStr">
        <is>
          <t>TwinTwente (TwinValley)</t>
        </is>
      </c>
      <c r="C66" s="20" t="inlineStr">
        <is>
          <t>sluit aan op kader</t>
        </is>
      </c>
      <c r="D66" s="20" t="inlineStr">
        <is>
          <t>EU-LDT</t>
        </is>
      </c>
      <c r="E66" s="20" t="inlineStr">
        <is>
          <t>EU Local Digital Twins (LDT CitiVERSE EDIC, LDT-toolbox, MIMs Plus)</t>
        </is>
      </c>
      <c r="F66" s="20" t="n"/>
      <c r="G66" s="20" t="n"/>
    </row>
    <row r="67" ht="15" customHeight="1" s="15">
      <c r="A67" s="20" t="inlineStr">
        <is>
          <t>DT-047</t>
        </is>
      </c>
      <c r="B67" s="20" t="inlineStr">
        <is>
          <t>TwinTwente (TwinValley)</t>
        </is>
      </c>
      <c r="C67" s="20" t="inlineStr">
        <is>
          <t>gebruikt bouwsteen</t>
        </is>
      </c>
      <c r="D67" s="20" t="inlineStr">
        <is>
          <t>BS-IFC</t>
        </is>
      </c>
      <c r="E67" s="20" t="inlineStr">
        <is>
          <t>IFC 4.3 / openBIM</t>
        </is>
      </c>
      <c r="F67" s="20" t="n"/>
      <c r="G67" s="20" t="n"/>
    </row>
    <row r="68" ht="15" customHeight="1" s="15">
      <c r="A68" s="20" t="inlineStr">
        <is>
          <t>DT-047</t>
        </is>
      </c>
      <c r="B68" s="20" t="inlineStr">
        <is>
          <t>TwinTwente (TwinValley)</t>
        </is>
      </c>
      <c r="C68" s="20" t="inlineStr">
        <is>
          <t>gebruikt bouwsteen</t>
        </is>
      </c>
      <c r="D68" s="20" t="inlineStr">
        <is>
          <t>BS-CITYGML</t>
        </is>
      </c>
      <c r="E68" s="20" t="inlineStr">
        <is>
          <t>CityGML 3.0</t>
        </is>
      </c>
      <c r="F68" s="20" t="n"/>
      <c r="G68" s="20" t="n"/>
    </row>
    <row r="69" ht="28.35" customHeight="1" s="15">
      <c r="A69" s="20" t="inlineStr">
        <is>
          <t>DT-048</t>
        </is>
      </c>
      <c r="B69" s="20" t="inlineStr">
        <is>
          <t>Open Urban Platform Rotterdam / Schiehaven Noord</t>
        </is>
      </c>
      <c r="C69" s="20" t="inlineStr">
        <is>
          <t>sluit aan op kader</t>
        </is>
      </c>
      <c r="D69" s="20" t="inlineStr">
        <is>
          <t>NLDT</t>
        </is>
      </c>
      <c r="E69" s="20" t="inlineStr">
        <is>
          <t>Programma Digitale Tweeling / NLDT-architectuur (nLDT)</t>
        </is>
      </c>
      <c r="F69" s="20" t="n"/>
      <c r="G69" s="20" t="n"/>
    </row>
    <row r="70" ht="28.35" customHeight="1" s="15">
      <c r="A70" s="20" t="inlineStr">
        <is>
          <t>DT-048</t>
        </is>
      </c>
      <c r="B70" s="20" t="inlineStr">
        <is>
          <t>Open Urban Platform Rotterdam / Schiehaven Noord</t>
        </is>
      </c>
      <c r="C70" s="20" t="inlineStr">
        <is>
          <t>gebruikt bouwsteen</t>
        </is>
      </c>
      <c r="D70" s="20" t="inlineStr">
        <is>
          <t>BS-IFC</t>
        </is>
      </c>
      <c r="E70" s="20" t="inlineStr">
        <is>
          <t>IFC 4.3 / openBIM</t>
        </is>
      </c>
      <c r="F70" s="20" t="n"/>
      <c r="G70" s="20" t="n"/>
    </row>
    <row r="71" ht="28.35" customHeight="1" s="15">
      <c r="A71" s="20" t="inlineStr">
        <is>
          <t>DT-048</t>
        </is>
      </c>
      <c r="B71" s="20" t="inlineStr">
        <is>
          <t>Open Urban Platform Rotterdam / Schiehaven Noord</t>
        </is>
      </c>
      <c r="C71" s="20" t="inlineStr">
        <is>
          <t>gebruikt bouwsteen</t>
        </is>
      </c>
      <c r="D71" s="20" t="inlineStr">
        <is>
          <t>BS-3DTILES</t>
        </is>
      </c>
      <c r="E71" s="20" t="inlineStr">
        <is>
          <t>3D Tiles (Nederland)</t>
        </is>
      </c>
      <c r="F71" s="20" t="n"/>
      <c r="G71" s="20" t="n"/>
    </row>
    <row r="72" ht="28.35" customHeight="1" s="15">
      <c r="A72" s="20" t="inlineStr">
        <is>
          <t>DT-049</t>
        </is>
      </c>
      <c r="B72" s="20" t="inlineStr">
        <is>
          <t>Use case Flevoland / Almere (DMI)</t>
        </is>
      </c>
      <c r="C72" s="20" t="inlineStr">
        <is>
          <t>sluit aan op kader</t>
        </is>
      </c>
      <c r="D72" s="20" t="inlineStr">
        <is>
          <t>NLDT</t>
        </is>
      </c>
      <c r="E72" s="20" t="inlineStr">
        <is>
          <t>Programma Digitale Tweeling / NLDT-architectuur (nLDT)</t>
        </is>
      </c>
      <c r="F72" s="20" t="n"/>
      <c r="G72" s="20" t="n"/>
    </row>
    <row r="73" ht="41.75" customHeight="1" s="15">
      <c r="A73" s="20" t="inlineStr">
        <is>
          <t>DT-055</t>
        </is>
      </c>
      <c r="B73" s="20" t="inlineStr">
        <is>
          <t>Energy Control Businesspark Ecofactorij: digital twin en AI-sturing privaat net (MOOI)</t>
        </is>
      </c>
      <c r="C73" s="20" t="inlineStr">
        <is>
          <t>sluit aan op kader</t>
        </is>
      </c>
      <c r="D73" s="20" t="inlineStr">
        <is>
          <t>TSE-INNOV</t>
        </is>
      </c>
      <c r="E73" s="20" t="inlineStr">
        <is>
          <t>NL innovatie-instrumentarium (MOOI, KIC, Systeemintegratie, energiehubs, Nationaal Groeifonds)</t>
        </is>
      </c>
      <c r="F73" s="20" t="n"/>
      <c r="G73" s="20" t="n"/>
    </row>
    <row r="74" ht="41.75" customHeight="1" s="15">
      <c r="A74" s="20" t="inlineStr">
        <is>
          <t>DT-056</t>
        </is>
      </c>
      <c r="B74" s="20" t="inlineStr">
        <is>
          <t>LEO-platform (ICR3ATE): digital twins per aansluiting en energiegemeenschap</t>
        </is>
      </c>
      <c r="C74" s="20" t="inlineStr">
        <is>
          <t>sluit aan op kader</t>
        </is>
      </c>
      <c r="D74" s="20" t="inlineStr">
        <is>
          <t>TSE-INNOV</t>
        </is>
      </c>
      <c r="E74" s="20" t="inlineStr">
        <is>
          <t>NL innovatie-instrumentarium (MOOI, KIC, Systeemintegratie, energiehubs, Nationaal Groeifonds)</t>
        </is>
      </c>
      <c r="F74" s="20" t="n"/>
      <c r="G74" s="20" t="n"/>
    </row>
    <row r="75" ht="41.75" customHeight="1" s="15">
      <c r="A75" s="20" t="inlineStr">
        <is>
          <t>DT-057</t>
        </is>
      </c>
      <c r="B75" s="20" t="inlineStr">
        <is>
          <t>Joule4Joule: netbewuste wijkenergiesystemen met digital twins</t>
        </is>
      </c>
      <c r="C75" s="20" t="inlineStr">
        <is>
          <t>sluit aan op kader</t>
        </is>
      </c>
      <c r="D75" s="20" t="inlineStr">
        <is>
          <t>TSE-INNOV</t>
        </is>
      </c>
      <c r="E75" s="20" t="inlineStr">
        <is>
          <t>NL innovatie-instrumentarium (MOOI, KIC, Systeemintegratie, energiehubs, Nationaal Groeifonds)</t>
        </is>
      </c>
      <c r="F75" s="20" t="n"/>
      <c r="G75" s="20" t="n"/>
    </row>
    <row r="76" ht="41.75" customHeight="1" s="15">
      <c r="A76" s="20" t="inlineStr">
        <is>
          <t>DT-058</t>
        </is>
      </c>
      <c r="B76" s="20" t="inlineStr">
        <is>
          <t>TROEF: Internet-of-Energy-platform met digital twins van gebouwen (MOOI)</t>
        </is>
      </c>
      <c r="C76" s="20" t="inlineStr">
        <is>
          <t>sluit aan op kader</t>
        </is>
      </c>
      <c r="D76" s="20" t="inlineStr">
        <is>
          <t>TSE-INNOV</t>
        </is>
      </c>
      <c r="E76" s="20" t="inlineStr">
        <is>
          <t>NL innovatie-instrumentarium (MOOI, KIC, Systeemintegratie, energiehubs, Nationaal Groeifonds)</t>
        </is>
      </c>
      <c r="F76" s="20" t="n"/>
      <c r="G76" s="20" t="n"/>
    </row>
    <row r="77" ht="41.75" customHeight="1" s="15">
      <c r="A77" s="20" t="inlineStr">
        <is>
          <t>DT-059</t>
        </is>
      </c>
      <c r="B77" s="20" t="inlineStr">
        <is>
          <t>SYMPHONIE: meerschalige multi-commodity energiehubs (MOOI)</t>
        </is>
      </c>
      <c r="C77" s="20" t="inlineStr">
        <is>
          <t>sluit aan op kader</t>
        </is>
      </c>
      <c r="D77" s="20" t="inlineStr">
        <is>
          <t>TSE-INNOV</t>
        </is>
      </c>
      <c r="E77" s="20" t="inlineStr">
        <is>
          <t>NL innovatie-instrumentarium (MOOI, KIC, Systeemintegratie, energiehubs, Nationaal Groeifonds)</t>
        </is>
      </c>
      <c r="F77" s="20" t="n"/>
      <c r="G77" s="20" t="n"/>
    </row>
    <row r="78" ht="41.75" customHeight="1" s="15">
      <c r="A78" s="20" t="inlineStr">
        <is>
          <t>DT-060</t>
        </is>
      </c>
      <c r="B78" s="20" t="inlineStr">
        <is>
          <t>BACH: Brainport Approach for a Congestion-free Holland (MOOI)</t>
        </is>
      </c>
      <c r="C78" s="20" t="inlineStr">
        <is>
          <t>sluit aan op kader</t>
        </is>
      </c>
      <c r="D78" s="20" t="inlineStr">
        <is>
          <t>TSE-INNOV</t>
        </is>
      </c>
      <c r="E78" s="20" t="inlineStr">
        <is>
          <t>NL innovatie-instrumentarium (MOOI, KIC, Systeemintegratie, energiehubs, Nationaal Groeifonds)</t>
        </is>
      </c>
      <c r="F78" s="20" t="n"/>
      <c r="G78" s="20" t="n"/>
    </row>
    <row r="79" ht="28.35" customHeight="1" s="15">
      <c r="A79" s="20" t="inlineStr">
        <is>
          <t>DT-063</t>
        </is>
      </c>
      <c r="B79" s="20" t="inlineStr">
        <is>
          <t>ESDL + ESSIM / MapEditor</t>
        </is>
      </c>
      <c r="C79" s="20" t="inlineStr">
        <is>
          <t>sluit aan op kader</t>
        </is>
      </c>
      <c r="D79" s="20" t="inlineStr">
        <is>
          <t>NEDRA</t>
        </is>
      </c>
      <c r="E79" s="20" t="inlineStr">
        <is>
          <t>Nederlandse Energie Domein Referentie Architectuur</t>
        </is>
      </c>
      <c r="F79" s="20" t="n"/>
      <c r="G79" s="20" t="n"/>
    </row>
    <row r="80" ht="15" customHeight="1" s="15">
      <c r="A80" s="20" t="inlineStr">
        <is>
          <t>DT-063</t>
        </is>
      </c>
      <c r="B80" s="20" t="inlineStr">
        <is>
          <t>ESDL + ESSIM / MapEditor</t>
        </is>
      </c>
      <c r="C80" s="20" t="inlineStr">
        <is>
          <t>gebruikt bouwsteen</t>
        </is>
      </c>
      <c r="D80" s="20" t="inlineStr">
        <is>
          <t>BS-ESDL</t>
        </is>
      </c>
      <c r="E80" s="20" t="inlineStr">
        <is>
          <t>ESDL (+ MapEditor, ESSIM)</t>
        </is>
      </c>
      <c r="F80" s="20" t="n"/>
      <c r="G80" s="20" t="n"/>
    </row>
    <row r="81" ht="28.35" customHeight="1" s="15">
      <c r="A81" s="20" t="inlineStr">
        <is>
          <t>DT-064</t>
        </is>
      </c>
      <c r="B81" s="20" t="inlineStr">
        <is>
          <t>Energy Transition Model (ETM)</t>
        </is>
      </c>
      <c r="C81" s="20" t="inlineStr">
        <is>
          <t>sluit aan op kader</t>
        </is>
      </c>
      <c r="D81" s="20" t="inlineStr">
        <is>
          <t>NPE</t>
        </is>
      </c>
      <c r="E81" s="20" t="inlineStr">
        <is>
          <t>Nationaal Plan Energiesysteem (actualisatie 2026)</t>
        </is>
      </c>
      <c r="F81" s="20" t="n"/>
      <c r="G81" s="20" t="n"/>
    </row>
    <row r="82" ht="15" customHeight="1" s="15">
      <c r="A82" s="20" t="inlineStr">
        <is>
          <t>DT-064</t>
        </is>
      </c>
      <c r="B82" s="20" t="inlineStr">
        <is>
          <t>Energy Transition Model (ETM)</t>
        </is>
      </c>
      <c r="C82" s="20" t="inlineStr">
        <is>
          <t>gebruikt bouwsteen</t>
        </is>
      </c>
      <c r="D82" s="20" t="inlineStr">
        <is>
          <t>BS-ETM</t>
        </is>
      </c>
      <c r="E82" s="20" t="inlineStr">
        <is>
          <t>Energy Transition Model</t>
        </is>
      </c>
      <c r="F82" s="20" t="n"/>
      <c r="G82" s="20" t="n"/>
    </row>
    <row r="83" ht="28.35" customHeight="1" s="15">
      <c r="A83" s="20" t="inlineStr">
        <is>
          <t>DT-065</t>
        </is>
      </c>
      <c r="B83" s="20" t="inlineStr">
        <is>
          <t>CIM/CGMES en NBility</t>
        </is>
      </c>
      <c r="C83" s="20" t="inlineStr">
        <is>
          <t>sluit aan op kader</t>
        </is>
      </c>
      <c r="D83" s="20" t="inlineStr">
        <is>
          <t>NEDRA</t>
        </is>
      </c>
      <c r="E83" s="20" t="inlineStr">
        <is>
          <t>Nederlandse Energie Domein Referentie Architectuur</t>
        </is>
      </c>
      <c r="F83" s="20" t="n"/>
      <c r="G83" s="20" t="n"/>
    </row>
    <row r="84" ht="28.35" customHeight="1" s="15">
      <c r="A84" s="20" t="inlineStr">
        <is>
          <t>DT-065</t>
        </is>
      </c>
      <c r="B84" s="20" t="inlineStr">
        <is>
          <t>CIM/CGMES en NBility</t>
        </is>
      </c>
      <c r="C84" s="20" t="inlineStr">
        <is>
          <t>sluit aan op kader</t>
        </is>
      </c>
      <c r="D84" s="20" t="inlineStr">
        <is>
          <t>ENTSOE</t>
        </is>
      </c>
      <c r="E84" s="20" t="inlineStr">
        <is>
          <t>ENTSO-E / EU DSO Entity: TSO-DSO use cases en 'Towards a Federated Approach'</t>
        </is>
      </c>
      <c r="F84" s="20" t="n"/>
      <c r="G84" s="20" t="n"/>
    </row>
    <row r="85" ht="15" customHeight="1" s="15">
      <c r="A85" s="20" t="inlineStr">
        <is>
          <t>DT-065</t>
        </is>
      </c>
      <c r="B85" s="20" t="inlineStr">
        <is>
          <t>CIM/CGMES en NBility</t>
        </is>
      </c>
      <c r="C85" s="20" t="inlineStr">
        <is>
          <t>gebruikt bouwsteen</t>
        </is>
      </c>
      <c r="D85" s="20" t="inlineStr">
        <is>
          <t>BS-CIM</t>
        </is>
      </c>
      <c r="E85" s="20" t="inlineStr">
        <is>
          <t>IEC CIM / CGMES</t>
        </is>
      </c>
      <c r="F85" s="20" t="n"/>
      <c r="G85" s="20" t="n"/>
    </row>
    <row r="86" ht="15" customHeight="1" s="15">
      <c r="A86" s="20" t="inlineStr">
        <is>
          <t>DT-065</t>
        </is>
      </c>
      <c r="B86" s="20" t="inlineStr">
        <is>
          <t>CIM/CGMES en NBility</t>
        </is>
      </c>
      <c r="C86" s="20" t="inlineStr">
        <is>
          <t>gebruikt bouwsteen</t>
        </is>
      </c>
      <c r="D86" s="20" t="inlineStr">
        <is>
          <t>BS-NBILITY</t>
        </is>
      </c>
      <c r="E86" s="20" t="inlineStr">
        <is>
          <t>NBility</t>
        </is>
      </c>
      <c r="F86" s="20" t="n"/>
      <c r="G86" s="20" t="n"/>
    </row>
    <row r="87" ht="28.35" customHeight="1" s="15">
      <c r="A87" s="20" t="inlineStr">
        <is>
          <t>DT-066</t>
        </is>
      </c>
      <c r="B87" s="20" t="inlineStr">
        <is>
          <t>Het Normo: afsprakenstelsel energiedata</t>
        </is>
      </c>
      <c r="C87" s="20" t="inlineStr">
        <is>
          <t>sluit aan op kader</t>
        </is>
      </c>
      <c r="D87" s="20" t="inlineStr">
        <is>
          <t>HETNORMO</t>
        </is>
      </c>
      <c r="E87" s="20" t="inlineStr">
        <is>
          <t>Afsprakenstelsel energiedata (Het Normo, Energiewet)</t>
        </is>
      </c>
      <c r="F87" s="20" t="n"/>
      <c r="G87" s="20" t="n"/>
    </row>
    <row r="88" ht="15" customHeight="1" s="15">
      <c r="A88" s="20" t="inlineStr">
        <is>
          <t>DT-066</t>
        </is>
      </c>
      <c r="B88" s="20" t="inlineStr">
        <is>
          <t>Het Normo: afsprakenstelsel energiedata</t>
        </is>
      </c>
      <c r="C88" s="20" t="inlineStr">
        <is>
          <t>sluit aan op kader</t>
        </is>
      </c>
      <c r="D88" s="20" t="inlineStr">
        <is>
          <t>ADE</t>
        </is>
      </c>
      <c r="E88" s="20" t="inlineStr">
        <is>
          <t>Actieagenda Digitalisering Energiesysteem</t>
        </is>
      </c>
      <c r="F88" s="20" t="n"/>
      <c r="G88" s="20" t="n"/>
    </row>
    <row r="89" ht="28.35" customHeight="1" s="15">
      <c r="A89" s="20" t="inlineStr">
        <is>
          <t>DT-066</t>
        </is>
      </c>
      <c r="B89" s="20" t="inlineStr">
        <is>
          <t>Het Normo: afsprakenstelsel energiedata</t>
        </is>
      </c>
      <c r="C89" s="20" t="inlineStr">
        <is>
          <t>sluit aan op kader</t>
        </is>
      </c>
      <c r="D89" s="20" t="inlineStr">
        <is>
          <t>NEDRA</t>
        </is>
      </c>
      <c r="E89" s="20" t="inlineStr">
        <is>
          <t>Nederlandse Energie Domein Referentie Architectuur</t>
        </is>
      </c>
      <c r="F89" s="20" t="n"/>
      <c r="G89" s="20" t="n"/>
    </row>
    <row r="90" ht="28.35" customHeight="1" s="15">
      <c r="A90" s="20" t="inlineStr">
        <is>
          <t>DT-067</t>
        </is>
      </c>
      <c r="B90" s="20" t="inlineStr">
        <is>
          <t>Energie Dataportaal + roadmap dataproducten netbeheerders</t>
        </is>
      </c>
      <c r="C90" s="20" t="inlineStr">
        <is>
          <t>sluit aan op kader</t>
        </is>
      </c>
      <c r="D90" s="20" t="inlineStr">
        <is>
          <t>ADE</t>
        </is>
      </c>
      <c r="E90" s="20" t="inlineStr">
        <is>
          <t>Actieagenda Digitalisering Energiesysteem</t>
        </is>
      </c>
      <c r="F90" s="20" t="n"/>
      <c r="G90" s="20" t="n"/>
    </row>
    <row r="91" ht="28.35" customHeight="1" s="15">
      <c r="A91" s="20" t="inlineStr">
        <is>
          <t>DT-067</t>
        </is>
      </c>
      <c r="B91" s="20" t="inlineStr">
        <is>
          <t>Energie Dataportaal + roadmap dataproducten netbeheerders</t>
        </is>
      </c>
      <c r="C91" s="20" t="inlineStr">
        <is>
          <t>sluit aan op kader</t>
        </is>
      </c>
      <c r="D91" s="20" t="inlineStr">
        <is>
          <t>HETNORMO</t>
        </is>
      </c>
      <c r="E91" s="20" t="inlineStr">
        <is>
          <t>Afsprakenstelsel energiedata (Het Normo, Energiewet)</t>
        </is>
      </c>
      <c r="F91" s="20" t="n"/>
      <c r="G91" s="20" t="n"/>
    </row>
    <row r="92" ht="15" customHeight="1" s="15">
      <c r="A92" s="20" t="inlineStr">
        <is>
          <t>DT-068</t>
        </is>
      </c>
      <c r="B92" s="20" t="inlineStr">
        <is>
          <t>Common European Energy Data Space</t>
        </is>
      </c>
      <c r="C92" s="20" t="inlineStr">
        <is>
          <t>sluit aan op kader</t>
        </is>
      </c>
      <c r="D92" s="20" t="inlineStr">
        <is>
          <t>CEEDS</t>
        </is>
      </c>
      <c r="E92" s="20" t="inlineStr">
        <is>
          <t>Common European Energy Data Space</t>
        </is>
      </c>
      <c r="F92" s="20" t="n"/>
      <c r="G92" s="20" t="n"/>
    </row>
    <row r="93" ht="28.35" customHeight="1" s="15">
      <c r="A93" s="20" t="inlineStr">
        <is>
          <t>DT-069</t>
        </is>
      </c>
      <c r="B93" s="20" t="inlineStr">
        <is>
          <t>Power Grid Model en OpenSTEF (LF Energy, oorsprong Alliander)</t>
        </is>
      </c>
      <c r="C93" s="20" t="inlineStr">
        <is>
          <t>sluit aan op kader</t>
        </is>
      </c>
      <c r="D93" s="20" t="inlineStr">
        <is>
          <t>LFE</t>
        </is>
      </c>
      <c r="E93" s="20" t="inlineStr">
        <is>
          <t>LF Energy</t>
        </is>
      </c>
      <c r="F93" s="20" t="n"/>
      <c r="G93" s="20" t="n"/>
    </row>
    <row r="94" ht="28.35" customHeight="1" s="15">
      <c r="A94" s="20" t="inlineStr">
        <is>
          <t>DT-069</t>
        </is>
      </c>
      <c r="B94" s="20" t="inlineStr">
        <is>
          <t>Power Grid Model en OpenSTEF (LF Energy, oorsprong Alliander)</t>
        </is>
      </c>
      <c r="C94" s="20" t="inlineStr">
        <is>
          <t>sluit aan op kader</t>
        </is>
      </c>
      <c r="D94" s="20" t="inlineStr">
        <is>
          <t>NEDRA</t>
        </is>
      </c>
      <c r="E94" s="20" t="inlineStr">
        <is>
          <t>Nederlandse Energie Domein Referentie Architectuur</t>
        </is>
      </c>
      <c r="F94" s="20" t="n"/>
      <c r="G94" s="20" t="n"/>
    </row>
    <row r="95" ht="28.35" customHeight="1" s="15">
      <c r="A95" s="20" t="inlineStr">
        <is>
          <t>DT-069</t>
        </is>
      </c>
      <c r="B95" s="20" t="inlineStr">
        <is>
          <t>Power Grid Model en OpenSTEF (LF Energy, oorsprong Alliander)</t>
        </is>
      </c>
      <c r="C95" s="20" t="inlineStr">
        <is>
          <t>gebruikt bouwsteen</t>
        </is>
      </c>
      <c r="D95" s="20" t="inlineStr">
        <is>
          <t>BS-PGM</t>
        </is>
      </c>
      <c r="E95" s="20" t="inlineStr">
        <is>
          <t>Power Grid Model</t>
        </is>
      </c>
      <c r="F95" s="20" t="n"/>
      <c r="G95" s="20" t="n"/>
    </row>
    <row r="96" ht="28.35" customHeight="1" s="15">
      <c r="A96" s="20" t="inlineStr">
        <is>
          <t>DT-069</t>
        </is>
      </c>
      <c r="B96" s="20" t="inlineStr">
        <is>
          <t>Power Grid Model en OpenSTEF (LF Energy, oorsprong Alliander)</t>
        </is>
      </c>
      <c r="C96" s="20" t="inlineStr">
        <is>
          <t>gebruikt bouwsteen</t>
        </is>
      </c>
      <c r="D96" s="20" t="inlineStr">
        <is>
          <t>BS-OPENSTEF</t>
        </is>
      </c>
      <c r="E96" s="20" t="inlineStr">
        <is>
          <t>OpenSTEF</t>
        </is>
      </c>
      <c r="F96" s="20" t="n"/>
      <c r="G96" s="20" t="n"/>
    </row>
    <row r="97" ht="28.35" customHeight="1" s="15">
      <c r="A97" s="20" t="inlineStr">
        <is>
          <t>DT-070</t>
        </is>
      </c>
      <c r="B97" s="20" t="inlineStr">
        <is>
          <t>PowSyBl, Dynawo en Grid2Op (LF Energy, oorsprong RTE)</t>
        </is>
      </c>
      <c r="C97" s="20" t="inlineStr">
        <is>
          <t>sluit aan op kader</t>
        </is>
      </c>
      <c r="D97" s="20" t="inlineStr">
        <is>
          <t>LFE</t>
        </is>
      </c>
      <c r="E97" s="20" t="inlineStr">
        <is>
          <t>LF Energy</t>
        </is>
      </c>
      <c r="F97" s="20" t="n"/>
      <c r="G97" s="20" t="n"/>
    </row>
    <row r="98" ht="28.35" customHeight="1" s="15">
      <c r="A98" s="20" t="inlineStr">
        <is>
          <t>DT-070</t>
        </is>
      </c>
      <c r="B98" s="20" t="inlineStr">
        <is>
          <t>PowSyBl, Dynawo en Grid2Op (LF Energy, oorsprong RTE)</t>
        </is>
      </c>
      <c r="C98" s="20" t="inlineStr">
        <is>
          <t>sluit aan op kader</t>
        </is>
      </c>
      <c r="D98" s="20" t="inlineStr">
        <is>
          <t>ENTSOE</t>
        </is>
      </c>
      <c r="E98" s="20" t="inlineStr">
        <is>
          <t>ENTSO-E / EU DSO Entity: TSO-DSO use cases en 'Towards a Federated Approach'</t>
        </is>
      </c>
      <c r="F98" s="20" t="n"/>
      <c r="G98" s="20" t="n"/>
    </row>
    <row r="99" ht="28.35" customHeight="1" s="15">
      <c r="A99" s="20" t="inlineStr">
        <is>
          <t>DT-070</t>
        </is>
      </c>
      <c r="B99" s="20" t="inlineStr">
        <is>
          <t>PowSyBl, Dynawo en Grid2Op (LF Energy, oorsprong RTE)</t>
        </is>
      </c>
      <c r="C99" s="20" t="inlineStr">
        <is>
          <t>gebruikt bouwsteen</t>
        </is>
      </c>
      <c r="D99" s="20" t="inlineStr">
        <is>
          <t>BS-POWSYBL</t>
        </is>
      </c>
      <c r="E99" s="20" t="inlineStr">
        <is>
          <t>PowSyBl</t>
        </is>
      </c>
      <c r="F99" s="20" t="n"/>
      <c r="G99" s="20" t="n"/>
    </row>
    <row r="100" ht="28.35" customHeight="1" s="15">
      <c r="A100" s="20" t="inlineStr">
        <is>
          <t>DT-070</t>
        </is>
      </c>
      <c r="B100" s="20" t="inlineStr">
        <is>
          <t>PowSyBl, Dynawo en Grid2Op (LF Energy, oorsprong RTE)</t>
        </is>
      </c>
      <c r="C100" s="20" t="inlineStr">
        <is>
          <t>gebruikt bouwsteen</t>
        </is>
      </c>
      <c r="D100" s="20" t="inlineStr">
        <is>
          <t>BS-DYNAWO</t>
        </is>
      </c>
      <c r="E100" s="20" t="inlineStr">
        <is>
          <t>Dynawo</t>
        </is>
      </c>
      <c r="F100" s="20" t="n"/>
      <c r="G100" s="20" t="n"/>
    </row>
    <row r="101" ht="28.35" customHeight="1" s="15">
      <c r="A101" s="20" t="inlineStr">
        <is>
          <t>DT-070</t>
        </is>
      </c>
      <c r="B101" s="20" t="inlineStr">
        <is>
          <t>PowSyBl, Dynawo en Grid2Op (LF Energy, oorsprong RTE)</t>
        </is>
      </c>
      <c r="C101" s="20" t="inlineStr">
        <is>
          <t>gebruikt bouwsteen</t>
        </is>
      </c>
      <c r="D101" s="20" t="inlineStr">
        <is>
          <t>BS-GRID2OP</t>
        </is>
      </c>
      <c r="E101" s="20" t="inlineStr">
        <is>
          <t>Grid2Op</t>
        </is>
      </c>
      <c r="F101" s="20" t="n"/>
      <c r="G101" s="20" t="n"/>
    </row>
    <row r="102" ht="28.35" customHeight="1" s="15">
      <c r="A102" s="20" t="inlineStr">
        <is>
          <t>DT-070</t>
        </is>
      </c>
      <c r="B102" s="20" t="inlineStr">
        <is>
          <t>PowSyBl, Dynawo en Grid2Op (LF Energy, oorsprong RTE)</t>
        </is>
      </c>
      <c r="C102" s="20" t="inlineStr">
        <is>
          <t>gebruikt bouwsteen</t>
        </is>
      </c>
      <c r="D102" s="20" t="inlineStr">
        <is>
          <t>BS-CIM</t>
        </is>
      </c>
      <c r="E102" s="20" t="inlineStr">
        <is>
          <t>IEC CIM / CGMES</t>
        </is>
      </c>
      <c r="F102" s="20" t="n"/>
      <c r="G102" s="20" t="n"/>
    </row>
    <row r="103" ht="28.35" customHeight="1" s="15">
      <c r="A103" s="20" t="inlineStr">
        <is>
          <t>DT-071</t>
        </is>
      </c>
      <c r="B103" s="20" t="inlineStr">
        <is>
          <t>Netherlands3D (open-source framework)</t>
        </is>
      </c>
      <c r="C103" s="20" t="inlineStr">
        <is>
          <t>sluit aan op kader</t>
        </is>
      </c>
      <c r="D103" s="20" t="inlineStr">
        <is>
          <t>NLDT</t>
        </is>
      </c>
      <c r="E103" s="20" t="inlineStr">
        <is>
          <t>Programma Digitale Tweeling / NLDT-architectuur (nLDT)</t>
        </is>
      </c>
      <c r="F103" s="20" t="n"/>
      <c r="G103" s="20" t="n"/>
    </row>
    <row r="104" ht="15" customHeight="1" s="15">
      <c r="A104" s="20" t="inlineStr">
        <is>
          <t>DT-071</t>
        </is>
      </c>
      <c r="B104" s="20" t="inlineStr">
        <is>
          <t>Netherlands3D (open-source framework)</t>
        </is>
      </c>
      <c r="C104" s="20" t="inlineStr">
        <is>
          <t>gebruikt bouwsteen</t>
        </is>
      </c>
      <c r="D104" s="20" t="inlineStr">
        <is>
          <t>BS-3DBAG</t>
        </is>
      </c>
      <c r="E104" s="20" t="inlineStr">
        <is>
          <t>3D BAG / 3D Basisvoorziening</t>
        </is>
      </c>
      <c r="F104" s="20" t="n"/>
      <c r="G104" s="20" t="n"/>
    </row>
    <row r="105" ht="15" customHeight="1" s="15">
      <c r="A105" s="20" t="inlineStr">
        <is>
          <t>DT-071</t>
        </is>
      </c>
      <c r="B105" s="20" t="inlineStr">
        <is>
          <t>Netherlands3D (open-source framework)</t>
        </is>
      </c>
      <c r="C105" s="20" t="inlineStr">
        <is>
          <t>gebruikt bouwsteen</t>
        </is>
      </c>
      <c r="D105" s="20" t="inlineStr">
        <is>
          <t>BS-3DTILES</t>
        </is>
      </c>
      <c r="E105" s="20" t="inlineStr">
        <is>
          <t>3D Tiles (Nederland)</t>
        </is>
      </c>
      <c r="F105" s="20" t="n"/>
      <c r="G105" s="20" t="n"/>
    </row>
    <row r="106" ht="28.35" customHeight="1" s="15">
      <c r="A106" s="20" t="inlineStr">
        <is>
          <t>DT-072</t>
        </is>
      </c>
      <c r="B106" s="20" t="inlineStr">
        <is>
          <t>Digitale Tweeling Nederland (platform en stichting)</t>
        </is>
      </c>
      <c r="C106" s="20" t="inlineStr">
        <is>
          <t>sluit aan op kader</t>
        </is>
      </c>
      <c r="D106" s="20" t="inlineStr">
        <is>
          <t>NLDT</t>
        </is>
      </c>
      <c r="E106" s="20" t="inlineStr">
        <is>
          <t>Programma Digitale Tweeling / NLDT-architectuur (nLDT)</t>
        </is>
      </c>
      <c r="F106" s="20" t="n"/>
      <c r="G106" s="20" t="n"/>
    </row>
    <row r="107" ht="28.35" customHeight="1" s="15">
      <c r="A107" s="20" t="inlineStr">
        <is>
          <t>DT-074</t>
        </is>
      </c>
      <c r="B107" s="20" t="inlineStr">
        <is>
          <t>3D BAG / 3D Basisvoorziening</t>
        </is>
      </c>
      <c r="C107" s="20" t="inlineStr">
        <is>
          <t>sluit aan op kader</t>
        </is>
      </c>
      <c r="D107" s="20" t="inlineStr">
        <is>
          <t>NLDT</t>
        </is>
      </c>
      <c r="E107" s="20" t="inlineStr">
        <is>
          <t>Programma Digitale Tweeling / NLDT-architectuur (nLDT)</t>
        </is>
      </c>
      <c r="F107" s="20" t="n"/>
      <c r="G107" s="20" t="n"/>
    </row>
    <row r="108" ht="15" customHeight="1" s="15">
      <c r="A108" s="20" t="inlineStr">
        <is>
          <t>DT-074</t>
        </is>
      </c>
      <c r="B108" s="20" t="inlineStr">
        <is>
          <t>3D BAG / 3D Basisvoorziening</t>
        </is>
      </c>
      <c r="C108" s="20" t="inlineStr">
        <is>
          <t>gebruikt bouwsteen</t>
        </is>
      </c>
      <c r="D108" s="20" t="inlineStr">
        <is>
          <t>BS-3DBAG</t>
        </is>
      </c>
      <c r="E108" s="20" t="inlineStr">
        <is>
          <t>3D BAG / 3D Basisvoorziening</t>
        </is>
      </c>
      <c r="F108" s="20" t="n"/>
      <c r="G108" s="20" t="n"/>
    </row>
    <row r="109" ht="28.35" customHeight="1" s="15">
      <c r="A109" s="20" t="inlineStr">
        <is>
          <t>DT-075</t>
        </is>
      </c>
      <c r="B109" s="20" t="inlineStr">
        <is>
          <t>3D Tiles Nederland</t>
        </is>
      </c>
      <c r="C109" s="20" t="inlineStr">
        <is>
          <t>sluit aan op kader</t>
        </is>
      </c>
      <c r="D109" s="20" t="inlineStr">
        <is>
          <t>NLDT</t>
        </is>
      </c>
      <c r="E109" s="20" t="inlineStr">
        <is>
          <t>Programma Digitale Tweeling / NLDT-architectuur (nLDT)</t>
        </is>
      </c>
      <c r="F109" s="20" t="n"/>
      <c r="G109" s="20" t="n"/>
    </row>
    <row r="110" ht="15" customHeight="1" s="15">
      <c r="A110" s="20" t="inlineStr">
        <is>
          <t>DT-075</t>
        </is>
      </c>
      <c r="B110" s="20" t="inlineStr">
        <is>
          <t>3D Tiles Nederland</t>
        </is>
      </c>
      <c r="C110" s="20" t="inlineStr">
        <is>
          <t>gebruikt bouwsteen</t>
        </is>
      </c>
      <c r="D110" s="20" t="inlineStr">
        <is>
          <t>BS-3DTILES</t>
        </is>
      </c>
      <c r="E110" s="20" t="inlineStr">
        <is>
          <t>3D Tiles (Nederland)</t>
        </is>
      </c>
      <c r="F110" s="20" t="n"/>
      <c r="G110" s="20" t="n"/>
    </row>
    <row r="111" ht="41.75" customHeight="1" s="15">
      <c r="A111" s="20" t="inlineStr">
        <is>
          <t>DT-078</t>
        </is>
      </c>
      <c r="B111" s="20" t="inlineStr">
        <is>
          <t>EIGEN: blauwdruk en toolset voor energiehubs op bedrijventerreinen</t>
        </is>
      </c>
      <c r="C111" s="20" t="inlineStr">
        <is>
          <t>sluit aan op kader</t>
        </is>
      </c>
      <c r="D111" s="20" t="inlineStr">
        <is>
          <t>TSE-INNOV</t>
        </is>
      </c>
      <c r="E111" s="20" t="inlineStr">
        <is>
          <t>NL innovatie-instrumentarium (MOOI, KIC, Systeemintegratie, energiehubs, Nationaal Groeifonds)</t>
        </is>
      </c>
      <c r="F111" s="20" t="n"/>
      <c r="G111" s="20" t="n"/>
    </row>
    <row r="112" ht="41.75" customHeight="1" s="15">
      <c r="A112" s="20" t="inlineStr">
        <is>
          <t>DT-079</t>
        </is>
      </c>
      <c r="B112" s="20" t="inlineStr">
        <is>
          <t>GO-e: rekentools en flexdiensten voor elektrificatie gebouwde omgeving</t>
        </is>
      </c>
      <c r="C112" s="20" t="inlineStr">
        <is>
          <t>sluit aan op kader</t>
        </is>
      </c>
      <c r="D112" s="20" t="inlineStr">
        <is>
          <t>TSE-INNOV</t>
        </is>
      </c>
      <c r="E112" s="20" t="inlineStr">
        <is>
          <t>NL innovatie-instrumentarium (MOOI, KIC, Systeemintegratie, energiehubs, Nationaal Groeifonds)</t>
        </is>
      </c>
      <c r="F112" s="20" t="n"/>
      <c r="G112" s="20" t="n"/>
    </row>
    <row r="113" ht="15" customHeight="1" s="15">
      <c r="A113" s="20" t="inlineStr">
        <is>
          <t>DT-081</t>
        </is>
      </c>
      <c r="B113" s="20" t="inlineStr">
        <is>
          <t>DVU: Datastelsel Verduurzaming Utiliteit</t>
        </is>
      </c>
      <c r="C113" s="20" t="inlineStr">
        <is>
          <t>sluit aan op kader</t>
        </is>
      </c>
      <c r="D113" s="20" t="inlineStr">
        <is>
          <t>DSGO</t>
        </is>
      </c>
      <c r="E113" s="20" t="inlineStr">
        <is>
          <t>Digitaal Stelsel Gebouwde Omgeving</t>
        </is>
      </c>
      <c r="F113" s="20" t="n"/>
      <c r="G113" s="20" t="n"/>
    </row>
    <row r="114" ht="28.35" customHeight="1" s="15">
      <c r="A114" s="20" t="inlineStr">
        <is>
          <t>DT-081</t>
        </is>
      </c>
      <c r="B114" s="20" t="inlineStr">
        <is>
          <t>DVU: Datastelsel Verduurzaming Utiliteit</t>
        </is>
      </c>
      <c r="C114" s="20" t="inlineStr">
        <is>
          <t>sluit aan op kader</t>
        </is>
      </c>
      <c r="D114" s="20" t="inlineStr">
        <is>
          <t>HETNORMO</t>
        </is>
      </c>
      <c r="E114" s="20" t="inlineStr">
        <is>
          <t>Afsprakenstelsel energiedata (Het Normo, Energiewet)</t>
        </is>
      </c>
      <c r="F114" s="20" t="n"/>
      <c r="G114" s="20" t="n"/>
    </row>
    <row r="115" ht="15" customHeight="1" s="15">
      <c r="A115" s="20" t="inlineStr">
        <is>
          <t>DT-081</t>
        </is>
      </c>
      <c r="B115" s="20" t="inlineStr">
        <is>
          <t>DVU: Datastelsel Verduurzaming Utiliteit</t>
        </is>
      </c>
      <c r="C115" s="20" t="inlineStr">
        <is>
          <t>gebruikt bouwsteen</t>
        </is>
      </c>
      <c r="D115" s="20" t="inlineStr">
        <is>
          <t>BS-ISHARE</t>
        </is>
      </c>
      <c r="E115" s="20" t="inlineStr">
        <is>
          <t>iSHARE</t>
        </is>
      </c>
      <c r="F115" s="20" t="n"/>
      <c r="G115" s="20" t="n"/>
    </row>
    <row r="116" ht="15" customHeight="1" s="15">
      <c r="A116" s="20" t="inlineStr">
        <is>
          <t>DT-081</t>
        </is>
      </c>
      <c r="B116" s="20" t="inlineStr">
        <is>
          <t>DVU: Datastelsel Verduurzaming Utiliteit</t>
        </is>
      </c>
      <c r="C116" s="20" t="inlineStr">
        <is>
          <t>gebruikt bouwsteen</t>
        </is>
      </c>
      <c r="D116" s="20" t="inlineStr">
        <is>
          <t>BS-WEII</t>
        </is>
      </c>
      <c r="E116" s="20" t="inlineStr">
        <is>
          <t>WEii-protocol (DGBC)</t>
        </is>
      </c>
      <c r="F116" s="20" t="n"/>
      <c r="G116" s="20" t="n"/>
    </row>
    <row r="117" ht="41.75" customHeight="1" s="15">
      <c r="A117" s="20" t="inlineStr">
        <is>
          <t>DT-086</t>
        </is>
      </c>
      <c r="B117" s="20" t="inlineStr">
        <is>
          <t>Learning Communities Systeemintegratie</t>
        </is>
      </c>
      <c r="C117" s="20" t="inlineStr">
        <is>
          <t>sluit aan op kader</t>
        </is>
      </c>
      <c r="D117" s="20" t="inlineStr">
        <is>
          <t>TSE-INNOV</t>
        </is>
      </c>
      <c r="E117" s="20" t="inlineStr">
        <is>
          <t>NL innovatie-instrumentarium (MOOI, KIC, Systeemintegratie, energiehubs, Nationaal Groeifonds)</t>
        </is>
      </c>
      <c r="F117" s="20" t="n"/>
      <c r="G117" s="20" t="n"/>
    </row>
    <row r="118" ht="41.75" customHeight="1" s="15">
      <c r="A118" s="20" t="inlineStr">
        <is>
          <t>DT-087</t>
        </is>
      </c>
      <c r="B118" s="20" t="inlineStr">
        <is>
          <t>Impactanalyse Digital Twins in de energiesector</t>
        </is>
      </c>
      <c r="C118" s="20" t="inlineStr">
        <is>
          <t>sluit aan op kader</t>
        </is>
      </c>
      <c r="D118" s="20" t="inlineStr">
        <is>
          <t>TSE-INNOV</t>
        </is>
      </c>
      <c r="E118" s="20" t="inlineStr">
        <is>
          <t>NL innovatie-instrumentarium (MOOI, KIC, Systeemintegratie, energiehubs, Nationaal Groeifonds)</t>
        </is>
      </c>
      <c r="F118" s="20" t="n"/>
      <c r="G118" s="20" t="n"/>
    </row>
    <row r="119" ht="28.35" customHeight="1" s="15">
      <c r="A119" s="20" t="inlineStr">
        <is>
          <t>DT-088</t>
        </is>
      </c>
      <c r="B119" s="20" t="inlineStr">
        <is>
          <t>DMI x ADE: federatieve energie-twins en living labs</t>
        </is>
      </c>
      <c r="C119" s="20" t="inlineStr">
        <is>
          <t>sluit aan op kader</t>
        </is>
      </c>
      <c r="D119" s="20" t="inlineStr">
        <is>
          <t>ADE</t>
        </is>
      </c>
      <c r="E119" s="20" t="inlineStr">
        <is>
          <t>Actieagenda Digitalisering Energiesysteem</t>
        </is>
      </c>
      <c r="F119" s="20" t="n"/>
      <c r="G119" s="20" t="n"/>
    </row>
    <row r="120" ht="28.35" customHeight="1" s="15">
      <c r="A120" s="20" t="inlineStr">
        <is>
          <t>DT-088</t>
        </is>
      </c>
      <c r="B120" s="20" t="inlineStr">
        <is>
          <t>DMI x ADE: federatieve energie-twins en living labs</t>
        </is>
      </c>
      <c r="C120" s="20" t="inlineStr">
        <is>
          <t>sluit aan op kader</t>
        </is>
      </c>
      <c r="D120" s="20" t="inlineStr">
        <is>
          <t>NLDT</t>
        </is>
      </c>
      <c r="E120" s="20" t="inlineStr">
        <is>
          <t>Programma Digitale Tweeling / NLDT-architectuur (nLDT)</t>
        </is>
      </c>
      <c r="F120" s="20" t="n"/>
      <c r="G120" s="20" t="n"/>
    </row>
    <row r="121" ht="28.35" customHeight="1" s="15">
      <c r="A121" s="20" t="inlineStr">
        <is>
          <t>DT-088</t>
        </is>
      </c>
      <c r="B121" s="20" t="inlineStr">
        <is>
          <t>DMI x ADE: federatieve energie-twins en living labs</t>
        </is>
      </c>
      <c r="C121" s="20" t="inlineStr">
        <is>
          <t>gebruikt bouwsteen</t>
        </is>
      </c>
      <c r="D121" s="20" t="inlineStr">
        <is>
          <t>BS-ESDL</t>
        </is>
      </c>
      <c r="E121" s="20" t="inlineStr">
        <is>
          <t>ESDL (+ MapEditor, ESSIM)</t>
        </is>
      </c>
      <c r="F121" s="20" t="n"/>
      <c r="G121" s="20" t="n"/>
    </row>
    <row r="122" ht="28.35" customHeight="1" s="15">
      <c r="A122" s="20" t="inlineStr">
        <is>
          <t>DT-088</t>
        </is>
      </c>
      <c r="B122" s="20" t="inlineStr">
        <is>
          <t>DMI x ADE: federatieve energie-twins en living labs</t>
        </is>
      </c>
      <c r="C122" s="20" t="inlineStr">
        <is>
          <t>gebruikt bouwsteen</t>
        </is>
      </c>
      <c r="D122" s="20" t="inlineStr">
        <is>
          <t>BS-ISHARE</t>
        </is>
      </c>
      <c r="E122" s="20" t="inlineStr">
        <is>
          <t>iSHARE</t>
        </is>
      </c>
      <c r="F122" s="20" t="n"/>
      <c r="G122" s="20" t="n"/>
    </row>
    <row r="123" ht="28.35" customHeight="1" s="15">
      <c r="A123" s="20" t="inlineStr">
        <is>
          <t>DT-089</t>
        </is>
      </c>
      <c r="B123" s="20" t="inlineStr">
        <is>
          <t>NLDT-community / Zicht op Nederland</t>
        </is>
      </c>
      <c r="C123" s="20" t="inlineStr">
        <is>
          <t>sluit aan op kader</t>
        </is>
      </c>
      <c r="D123" s="20" t="inlineStr">
        <is>
          <t>NLDT</t>
        </is>
      </c>
      <c r="E123" s="20" t="inlineStr">
        <is>
          <t>Programma Digitale Tweeling / NLDT-architectuur (nLDT)</t>
        </is>
      </c>
      <c r="F123" s="20" t="n"/>
      <c r="G123" s="20" t="n"/>
    </row>
    <row r="124" ht="28.35" customHeight="1" s="15">
      <c r="A124" s="20" t="inlineStr">
        <is>
          <t>DT-090</t>
        </is>
      </c>
      <c r="B124" s="20" t="inlineStr">
        <is>
          <t>Nationaal Expertisecentrum Woningbouw: digital twinning in de woningbouwopgave</t>
        </is>
      </c>
      <c r="C124" s="20" t="inlineStr">
        <is>
          <t>sluit aan op kader</t>
        </is>
      </c>
      <c r="D124" s="20" t="inlineStr">
        <is>
          <t>NLDT</t>
        </is>
      </c>
      <c r="E124" s="20" t="inlineStr">
        <is>
          <t>Programma Digitale Tweeling / NLDT-architectuur (nLDT)</t>
        </is>
      </c>
      <c r="F124" s="20" t="n"/>
      <c r="G124" s="20" t="n"/>
    </row>
    <row r="125" ht="28.35" customHeight="1" s="15">
      <c r="A125" s="20" t="inlineStr">
        <is>
          <t>DT-091</t>
        </is>
      </c>
      <c r="B125" s="20" t="inlineStr">
        <is>
          <t>DMI-ecosysteem (Dutch Metropolitan Innovations)</t>
        </is>
      </c>
      <c r="C125" s="20" t="inlineStr">
        <is>
          <t>sluit aan op kader</t>
        </is>
      </c>
      <c r="D125" s="20" t="inlineStr">
        <is>
          <t>NLDT</t>
        </is>
      </c>
      <c r="E125" s="20" t="inlineStr">
        <is>
          <t>Programma Digitale Tweeling / NLDT-architectuur (nLDT)</t>
        </is>
      </c>
      <c r="F125" s="20" t="n"/>
      <c r="G125" s="20" t="n"/>
    </row>
    <row r="126" ht="28.35" customHeight="1" s="15">
      <c r="A126" s="20" t="inlineStr">
        <is>
          <t>DT-092</t>
        </is>
      </c>
      <c r="B126" s="20" t="inlineStr">
        <is>
          <t>Dutch Digital Twin AppStore (DDTAS)</t>
        </is>
      </c>
      <c r="C126" s="20" t="inlineStr">
        <is>
          <t>sluit aan op kader</t>
        </is>
      </c>
      <c r="D126" s="20" t="inlineStr">
        <is>
          <t>NLDT</t>
        </is>
      </c>
      <c r="E126" s="20" t="inlineStr">
        <is>
          <t>Programma Digitale Tweeling / NLDT-architectuur (nLDT)</t>
        </is>
      </c>
      <c r="F126" s="20" t="n"/>
      <c r="G126" s="20" t="n"/>
    </row>
    <row r="127" ht="28.35" customHeight="1" s="15">
      <c r="A127" s="20" t="inlineStr">
        <is>
          <t>DT-093</t>
        </is>
      </c>
      <c r="B127" s="20" t="inlineStr">
        <is>
          <t>VNG/Alkemio Digital Twin Community</t>
        </is>
      </c>
      <c r="C127" s="20" t="inlineStr">
        <is>
          <t>sluit aan op kader</t>
        </is>
      </c>
      <c r="D127" s="20" t="inlineStr">
        <is>
          <t>NLDT</t>
        </is>
      </c>
      <c r="E127" s="20" t="inlineStr">
        <is>
          <t>Programma Digitale Tweeling / NLDT-architectuur (nLDT)</t>
        </is>
      </c>
      <c r="F127" s="20" t="n"/>
      <c r="G127" s="20" t="n"/>
    </row>
    <row r="128" ht="28.35" customHeight="1" s="15">
      <c r="A128" s="20" t="inlineStr">
        <is>
          <t>DT-095</t>
        </is>
      </c>
      <c r="B128" s="20" t="inlineStr">
        <is>
          <t>Provincie Utrecht: beleidsprocessen en bouwblokken voor digital twins</t>
        </is>
      </c>
      <c r="C128" s="20" t="inlineStr">
        <is>
          <t>sluit aan op kader</t>
        </is>
      </c>
      <c r="D128" s="20" t="inlineStr">
        <is>
          <t>NLDT</t>
        </is>
      </c>
      <c r="E128" s="20" t="inlineStr">
        <is>
          <t>Programma Digitale Tweeling / NLDT-architectuur (nLDT)</t>
        </is>
      </c>
      <c r="F128" s="20" t="n"/>
      <c r="G128" s="20" t="n"/>
    </row>
    <row r="129" ht="28.35" customHeight="1" s="15">
      <c r="A129" s="20" t="inlineStr">
        <is>
          <t>DT-098</t>
        </is>
      </c>
      <c r="B129" s="20" t="inlineStr">
        <is>
          <t>TwinEU</t>
        </is>
      </c>
      <c r="C129" s="20" t="inlineStr">
        <is>
          <t>sluit aan op kader</t>
        </is>
      </c>
      <c r="D129" s="20" t="inlineStr">
        <is>
          <t>HORIZON</t>
        </is>
      </c>
      <c r="E129" s="20" t="inlineStr">
        <is>
          <t>Horizon 2020 / Horizon Europe (incl. BRIDGE-cluster)</t>
        </is>
      </c>
      <c r="F129" s="20" t="n"/>
      <c r="G129" s="20" t="n"/>
    </row>
    <row r="130" ht="28.35" customHeight="1" s="15">
      <c r="A130" s="20" t="inlineStr">
        <is>
          <t>DT-098</t>
        </is>
      </c>
      <c r="B130" s="20" t="inlineStr">
        <is>
          <t>TwinEU</t>
        </is>
      </c>
      <c r="C130" s="20" t="inlineStr">
        <is>
          <t>sluit aan op kader</t>
        </is>
      </c>
      <c r="D130" s="20" t="inlineStr">
        <is>
          <t>ENTSOE</t>
        </is>
      </c>
      <c r="E130" s="20" t="inlineStr">
        <is>
          <t>ENTSO-E / EU DSO Entity: TSO-DSO use cases en 'Towards a Federated Approach'</t>
        </is>
      </c>
      <c r="F130" s="20" t="n"/>
      <c r="G130" s="20" t="n"/>
    </row>
    <row r="131" ht="15" customHeight="1" s="15">
      <c r="A131" s="20" t="inlineStr">
        <is>
          <t>DT-098</t>
        </is>
      </c>
      <c r="B131" s="20" t="inlineStr">
        <is>
          <t>TwinEU</t>
        </is>
      </c>
      <c r="C131" s="20" t="inlineStr">
        <is>
          <t>sluit aan op kader</t>
        </is>
      </c>
      <c r="D131" s="20" t="inlineStr">
        <is>
          <t>CEEDS</t>
        </is>
      </c>
      <c r="E131" s="20" t="inlineStr">
        <is>
          <t>Common European Energy Data Space</t>
        </is>
      </c>
      <c r="F131" s="20" t="n"/>
      <c r="G131" s="20" t="n"/>
    </row>
    <row r="132" ht="28.35" customHeight="1" s="15">
      <c r="A132" s="20" t="inlineStr">
        <is>
          <t>DT-099</t>
        </is>
      </c>
      <c r="B132" s="20" t="inlineStr">
        <is>
          <t>ENTSO-E / DSO Entity: digital twin EU-net (use cases, federated approach, toolbox)</t>
        </is>
      </c>
      <c r="C132" s="20" t="inlineStr">
        <is>
          <t>sluit aan op kader</t>
        </is>
      </c>
      <c r="D132" s="20" t="inlineStr">
        <is>
          <t>ENTSOE</t>
        </is>
      </c>
      <c r="E132" s="20" t="inlineStr">
        <is>
          <t>ENTSO-E / EU DSO Entity: TSO-DSO use cases en 'Towards a Federated Approach'</t>
        </is>
      </c>
      <c r="F132" s="20" t="n"/>
      <c r="G132" s="20" t="n"/>
    </row>
    <row r="133" ht="28.35" customHeight="1" s="15">
      <c r="A133" s="20" t="inlineStr">
        <is>
          <t>DT-099</t>
        </is>
      </c>
      <c r="B133" s="20" t="inlineStr">
        <is>
          <t>ENTSO-E / DSO Entity: digital twin EU-net (use cases, federated approach, toolbox)</t>
        </is>
      </c>
      <c r="C133" s="20" t="inlineStr">
        <is>
          <t>sluit aan op kader</t>
        </is>
      </c>
      <c r="D133" s="20" t="inlineStr">
        <is>
          <t>EU-RM26</t>
        </is>
      </c>
      <c r="E133" s="20" t="inlineStr">
        <is>
          <t>EU Strategic Roadmap for Digitalisation and AI in Energy (juni 2026)</t>
        </is>
      </c>
      <c r="F133" s="20" t="n"/>
      <c r="G133" s="20" t="n"/>
    </row>
    <row r="134" ht="28.35" customHeight="1" s="15">
      <c r="A134" s="20" t="inlineStr">
        <is>
          <t>DT-099</t>
        </is>
      </c>
      <c r="B134" s="20" t="inlineStr">
        <is>
          <t>ENTSO-E / DSO Entity: digital twin EU-net (use cases, federated approach, toolbox)</t>
        </is>
      </c>
      <c r="C134" s="20" t="inlineStr">
        <is>
          <t>gebruikt bouwsteen</t>
        </is>
      </c>
      <c r="D134" s="20" t="inlineStr">
        <is>
          <t>BS-CIM</t>
        </is>
      </c>
      <c r="E134" s="20" t="inlineStr">
        <is>
          <t>IEC CIM / CGMES</t>
        </is>
      </c>
      <c r="F134" s="20" t="n"/>
      <c r="G134" s="20" t="n"/>
    </row>
    <row r="135" ht="28.35" customHeight="1" s="15">
      <c r="A135" s="20" t="inlineStr">
        <is>
          <t>DT-100</t>
        </is>
      </c>
      <c r="B135" s="20" t="inlineStr">
        <is>
          <t>DSO4DT</t>
        </is>
      </c>
      <c r="C135" s="20" t="inlineStr">
        <is>
          <t>sluit aan op kader</t>
        </is>
      </c>
      <c r="D135" s="20" t="inlineStr">
        <is>
          <t>ENTSOE</t>
        </is>
      </c>
      <c r="E135" s="20" t="inlineStr">
        <is>
          <t>ENTSO-E / EU DSO Entity: TSO-DSO use cases en 'Towards a Federated Approach'</t>
        </is>
      </c>
      <c r="F135" s="20" t="n"/>
      <c r="G135" s="20" t="n"/>
    </row>
    <row r="136" ht="15" customHeight="1" s="15">
      <c r="A136" s="20" t="inlineStr">
        <is>
          <t>DT-101</t>
        </is>
      </c>
      <c r="B136" s="20" t="inlineStr">
        <is>
          <t>Destination Earth</t>
        </is>
      </c>
      <c r="C136" s="20" t="inlineStr">
        <is>
          <t>sluit aan op kader</t>
        </is>
      </c>
      <c r="D136" s="20" t="inlineStr">
        <is>
          <t>DESTINE</t>
        </is>
      </c>
      <c r="E136" s="20" t="inlineStr">
        <is>
          <t>Destination Earth</t>
        </is>
      </c>
      <c r="F136" s="20" t="n"/>
      <c r="G136" s="20" t="n"/>
    </row>
    <row r="137" ht="28.35" customHeight="1" s="15">
      <c r="A137" s="20" t="inlineStr">
        <is>
          <t>DT-102</t>
        </is>
      </c>
      <c r="B137" s="20" t="inlineStr">
        <is>
          <t>UK National Digital Twin Programme (o.a. NOVA)</t>
        </is>
      </c>
      <c r="C137" s="20" t="inlineStr">
        <is>
          <t>sluit aan op kader</t>
        </is>
      </c>
      <c r="D137" s="20" t="inlineStr">
        <is>
          <t>GEMINI</t>
        </is>
      </c>
      <c r="E137" s="20" t="inlineStr">
        <is>
          <t>Gemini Principles / UK National Digital Twin Programme</t>
        </is>
      </c>
      <c r="F137" s="20" t="n"/>
      <c r="G137" s="20" t="n"/>
    </row>
    <row r="138" ht="28.35" customHeight="1" s="15">
      <c r="A138" s="20" t="inlineStr">
        <is>
          <t>DT-103</t>
        </is>
      </c>
      <c r="B138" s="20" t="inlineStr">
        <is>
          <t>AI-EFFECT: Europese test- en experimenteerfaciliteit voor AI in energie</t>
        </is>
      </c>
      <c r="C138" s="20" t="inlineStr">
        <is>
          <t>sluit aan op kader</t>
        </is>
      </c>
      <c r="D138" s="20" t="inlineStr">
        <is>
          <t>HORIZON</t>
        </is>
      </c>
      <c r="E138" s="20" t="inlineStr">
        <is>
          <t>Horizon 2020 / Horizon Europe (incl. BRIDGE-cluster)</t>
        </is>
      </c>
      <c r="F138" s="20" t="n"/>
      <c r="G138" s="20" t="n"/>
    </row>
    <row r="139" ht="28.35" customHeight="1" s="15">
      <c r="A139" s="20" t="inlineStr">
        <is>
          <t>DT-103</t>
        </is>
      </c>
      <c r="B139" s="20" t="inlineStr">
        <is>
          <t>AI-EFFECT: Europese test- en experimenteerfaciliteit voor AI in energie</t>
        </is>
      </c>
      <c r="C139" s="20" t="inlineStr">
        <is>
          <t>sluit aan op kader</t>
        </is>
      </c>
      <c r="D139" s="20" t="inlineStr">
        <is>
          <t>EU-RM26</t>
        </is>
      </c>
      <c r="E139" s="20" t="inlineStr">
        <is>
          <t>EU Strategic Roadmap for Digitalisation and AI in Energy (juni 2026)</t>
        </is>
      </c>
      <c r="F139" s="20" t="n"/>
      <c r="G139" s="20" t="n"/>
    </row>
    <row r="140" ht="28.35" customHeight="1" s="15">
      <c r="A140" s="20" t="inlineStr">
        <is>
          <t>DT-104</t>
        </is>
      </c>
      <c r="B140" s="20" t="inlineStr">
        <is>
          <t>GRID-PRO: programmeerbare onderstations met digital-twin-platform</t>
        </is>
      </c>
      <c r="C140" s="20" t="inlineStr">
        <is>
          <t>sluit aan op kader</t>
        </is>
      </c>
      <c r="D140" s="20" t="inlineStr">
        <is>
          <t>HORIZON</t>
        </is>
      </c>
      <c r="E140" s="20" t="inlineStr">
        <is>
          <t>Horizon 2020 / Horizon Europe (incl. BRIDGE-cluster)</t>
        </is>
      </c>
      <c r="F140" s="20" t="n"/>
      <c r="G140" s="20" t="n"/>
    </row>
    <row r="141" ht="28.35" customHeight="1" s="15">
      <c r="A141" s="20" t="inlineStr">
        <is>
          <t>DT-104</t>
        </is>
      </c>
      <c r="B141" s="20" t="inlineStr">
        <is>
          <t>GRID-PRO: programmeerbare onderstations met digital-twin-platform</t>
        </is>
      </c>
      <c r="C141" s="20" t="inlineStr">
        <is>
          <t>sluit aan op kader</t>
        </is>
      </c>
      <c r="D141" s="20" t="inlineStr">
        <is>
          <t>SGAM</t>
        </is>
      </c>
      <c r="E141" s="20" t="inlineStr">
        <is>
          <t>Smart Grid Architecture Model</t>
        </is>
      </c>
      <c r="F141" s="20" t="n"/>
      <c r="G141" s="20" t="n"/>
    </row>
    <row r="142" ht="28.35" customHeight="1" s="15">
      <c r="A142" s="20" t="inlineStr">
        <is>
          <t>DT-104</t>
        </is>
      </c>
      <c r="B142" s="20" t="inlineStr">
        <is>
          <t>GRID-PRO: programmeerbare onderstations met digital-twin-platform</t>
        </is>
      </c>
      <c r="C142" s="20" t="inlineStr">
        <is>
          <t>gebruikt bouwsteen</t>
        </is>
      </c>
      <c r="D142" s="20" t="inlineStr">
        <is>
          <t>BS-IEC61850</t>
        </is>
      </c>
      <c r="E142" s="20" t="inlineStr">
        <is>
          <t>IEC 61850</t>
        </is>
      </c>
      <c r="F142" s="20" t="n"/>
      <c r="G142" s="20" t="n"/>
    </row>
    <row r="143" ht="28.35" customHeight="1" s="15">
      <c r="A143" s="20" t="inlineStr">
        <is>
          <t>DT-105</t>
        </is>
      </c>
      <c r="B143" s="20" t="inlineStr">
        <is>
          <t>TwinERGY: consumentgerichte digital twin voor demand response</t>
        </is>
      </c>
      <c r="C143" s="20" t="inlineStr">
        <is>
          <t>sluit aan op kader</t>
        </is>
      </c>
      <c r="D143" s="20" t="inlineStr">
        <is>
          <t>HORIZON</t>
        </is>
      </c>
      <c r="E143" s="20" t="inlineStr">
        <is>
          <t>Horizon 2020 / Horizon Europe (incl. BRIDGE-cluster)</t>
        </is>
      </c>
      <c r="F143" s="20" t="n"/>
      <c r="G143" s="20" t="n"/>
    </row>
    <row r="144" ht="28.35" customHeight="1" s="15">
      <c r="A144" s="20" t="inlineStr">
        <is>
          <t>DT-106</t>
        </is>
      </c>
      <c r="B144" s="20" t="inlineStr">
        <is>
          <t>BUILDSPACE: gebouwtwins gekoppeld aan stadsdiensten</t>
        </is>
      </c>
      <c r="C144" s="20" t="inlineStr">
        <is>
          <t>sluit aan op kader</t>
        </is>
      </c>
      <c r="D144" s="20" t="inlineStr">
        <is>
          <t>HORIZON</t>
        </is>
      </c>
      <c r="E144" s="20" t="inlineStr">
        <is>
          <t>Horizon 2020 / Horizon Europe (incl. BRIDGE-cluster)</t>
        </is>
      </c>
      <c r="F144" s="20" t="n"/>
      <c r="G144" s="20" t="n"/>
    </row>
    <row r="145" ht="28.35" customHeight="1" s="15">
      <c r="A145" s="20" t="inlineStr">
        <is>
          <t>DT-106</t>
        </is>
      </c>
      <c r="B145" s="20" t="inlineStr">
        <is>
          <t>BUILDSPACE: gebouwtwins gekoppeld aan stadsdiensten</t>
        </is>
      </c>
      <c r="C145" s="20" t="inlineStr">
        <is>
          <t>gebruikt bouwsteen</t>
        </is>
      </c>
      <c r="D145" s="20" t="inlineStr">
        <is>
          <t>BS-IFC</t>
        </is>
      </c>
      <c r="E145" s="20" t="inlineStr">
        <is>
          <t>IFC 4.3 / openBIM</t>
        </is>
      </c>
      <c r="F145" s="20" t="n"/>
      <c r="G145" s="20" t="n"/>
    </row>
    <row r="146" ht="28.35" customHeight="1" s="15">
      <c r="A146" s="20" t="inlineStr">
        <is>
          <t>DT-107</t>
        </is>
      </c>
      <c r="B146" s="20" t="inlineStr">
        <is>
          <t>ExPEDite: planning- en beheertwin voor Positive Energy Districts</t>
        </is>
      </c>
      <c r="C146" s="20" t="inlineStr">
        <is>
          <t>sluit aan op kader</t>
        </is>
      </c>
      <c r="D146" s="20" t="inlineStr">
        <is>
          <t>HORIZON</t>
        </is>
      </c>
      <c r="E146" s="20" t="inlineStr">
        <is>
          <t>Horizon 2020 / Horizon Europe (incl. BRIDGE-cluster)</t>
        </is>
      </c>
      <c r="F146" s="20" t="n"/>
      <c r="G146" s="20" t="n"/>
    </row>
    <row r="147" ht="28.35" customHeight="1" s="15">
      <c r="A147" s="20" t="inlineStr">
        <is>
          <t>DT-108</t>
        </is>
      </c>
      <c r="B147" s="20" t="inlineStr">
        <is>
          <t>Energiedataspace-projecten met twin-output (Enershare, SYNERGIES)</t>
        </is>
      </c>
      <c r="C147" s="20" t="inlineStr">
        <is>
          <t>sluit aan op kader</t>
        </is>
      </c>
      <c r="D147" s="20" t="inlineStr">
        <is>
          <t>HORIZON</t>
        </is>
      </c>
      <c r="E147" s="20" t="inlineStr">
        <is>
          <t>Horizon 2020 / Horizon Europe (incl. BRIDGE-cluster)</t>
        </is>
      </c>
      <c r="F147" s="20" t="n"/>
      <c r="G147" s="20" t="n"/>
    </row>
    <row r="148" ht="28.35" customHeight="1" s="15">
      <c r="A148" s="20" t="inlineStr">
        <is>
          <t>DT-108</t>
        </is>
      </c>
      <c r="B148" s="20" t="inlineStr">
        <is>
          <t>Energiedataspace-projecten met twin-output (Enershare, SYNERGIES)</t>
        </is>
      </c>
      <c r="C148" s="20" t="inlineStr">
        <is>
          <t>sluit aan op kader</t>
        </is>
      </c>
      <c r="D148" s="20" t="inlineStr">
        <is>
          <t>CEEDS</t>
        </is>
      </c>
      <c r="E148" s="20" t="inlineStr">
        <is>
          <t>Common European Energy Data Space</t>
        </is>
      </c>
      <c r="F148" s="20" t="n"/>
      <c r="G148" s="20" t="n"/>
    </row>
    <row r="149" ht="28.35" customHeight="1" s="15">
      <c r="A149" s="20" t="inlineStr">
        <is>
          <t>DT-109</t>
        </is>
      </c>
      <c r="B149" s="20" t="inlineStr">
        <is>
          <t>BRIDGE-initiatief (cluster Horizon-projecten smart grids, opslag, digitalisering)</t>
        </is>
      </c>
      <c r="C149" s="20" t="inlineStr">
        <is>
          <t>sluit aan op kader</t>
        </is>
      </c>
      <c r="D149" s="20" t="inlineStr">
        <is>
          <t>HORIZON</t>
        </is>
      </c>
      <c r="E149" s="20" t="inlineStr">
        <is>
          <t>Horizon 2020 / Horizon Europe (incl. BRIDGE-cluster)</t>
        </is>
      </c>
      <c r="F149" s="20" t="n"/>
      <c r="G149" s="20" t="n"/>
    </row>
    <row r="150" ht="28.35" customHeight="1" s="15">
      <c r="A150" s="20" t="inlineStr">
        <is>
          <t>DT-110</t>
        </is>
      </c>
      <c r="B150" s="20" t="inlineStr">
        <is>
          <t>LF Energy: open-sourcestichting voor energiesoftware</t>
        </is>
      </c>
      <c r="C150" s="20" t="inlineStr">
        <is>
          <t>sluit aan op kader</t>
        </is>
      </c>
      <c r="D150" s="20" t="inlineStr">
        <is>
          <t>LFE</t>
        </is>
      </c>
      <c r="E150" s="20" t="inlineStr">
        <is>
          <t>LF Energy</t>
        </is>
      </c>
      <c r="F150" s="20" t="n"/>
      <c r="G150" s="20" t="n"/>
    </row>
    <row r="151" ht="28.35" customHeight="1" s="15">
      <c r="A151" s="20" t="inlineStr">
        <is>
          <t>DT-110</t>
        </is>
      </c>
      <c r="B151" s="20" t="inlineStr">
        <is>
          <t>LF Energy: open-sourcestichting voor energiesoftware</t>
        </is>
      </c>
      <c r="C151" s="20" t="inlineStr">
        <is>
          <t>gebruikt bouwsteen</t>
        </is>
      </c>
      <c r="D151" s="20" t="inlineStr">
        <is>
          <t>BS-PGM</t>
        </is>
      </c>
      <c r="E151" s="20" t="inlineStr">
        <is>
          <t>Power Grid Model</t>
        </is>
      </c>
      <c r="F151" s="20" t="n"/>
      <c r="G151" s="20" t="n"/>
    </row>
    <row r="152" ht="28.35" customHeight="1" s="15">
      <c r="A152" s="20" t="inlineStr">
        <is>
          <t>DT-110</t>
        </is>
      </c>
      <c r="B152" s="20" t="inlineStr">
        <is>
          <t>LF Energy: open-sourcestichting voor energiesoftware</t>
        </is>
      </c>
      <c r="C152" s="20" t="inlineStr">
        <is>
          <t>gebruikt bouwsteen</t>
        </is>
      </c>
      <c r="D152" s="20" t="inlineStr">
        <is>
          <t>BS-OPENSTEF</t>
        </is>
      </c>
      <c r="E152" s="20" t="inlineStr">
        <is>
          <t>OpenSTEF</t>
        </is>
      </c>
      <c r="F152" s="20" t="n"/>
      <c r="G152" s="20" t="n"/>
    </row>
    <row r="153" ht="28.35" customHeight="1" s="15">
      <c r="A153" s="20" t="inlineStr">
        <is>
          <t>DT-110</t>
        </is>
      </c>
      <c r="B153" s="20" t="inlineStr">
        <is>
          <t>LF Energy: open-sourcestichting voor energiesoftware</t>
        </is>
      </c>
      <c r="C153" s="20" t="inlineStr">
        <is>
          <t>gebruikt bouwsteen</t>
        </is>
      </c>
      <c r="D153" s="20" t="inlineStr">
        <is>
          <t>BS-POWSYBL</t>
        </is>
      </c>
      <c r="E153" s="20" t="inlineStr">
        <is>
          <t>PowSyBl</t>
        </is>
      </c>
      <c r="F153" s="20" t="n"/>
      <c r="G153" s="20" t="n"/>
    </row>
    <row r="154" ht="28.35" customHeight="1" s="15">
      <c r="A154" s="20" t="inlineStr">
        <is>
          <t>DT-110</t>
        </is>
      </c>
      <c r="B154" s="20" t="inlineStr">
        <is>
          <t>LF Energy: open-sourcestichting voor energiesoftware</t>
        </is>
      </c>
      <c r="C154" s="20" t="inlineStr">
        <is>
          <t>gebruikt bouwsteen</t>
        </is>
      </c>
      <c r="D154" s="20" t="inlineStr">
        <is>
          <t>BS-DYNAWO</t>
        </is>
      </c>
      <c r="E154" s="20" t="inlineStr">
        <is>
          <t>Dynawo</t>
        </is>
      </c>
      <c r="F154" s="20" t="n"/>
      <c r="G154" s="20" t="n"/>
    </row>
    <row r="155" ht="28.35" customHeight="1" s="15">
      <c r="A155" s="20" t="inlineStr">
        <is>
          <t>DT-110</t>
        </is>
      </c>
      <c r="B155" s="20" t="inlineStr">
        <is>
          <t>LF Energy: open-sourcestichting voor energiesoftware</t>
        </is>
      </c>
      <c r="C155" s="20" t="inlineStr">
        <is>
          <t>gebruikt bouwsteen</t>
        </is>
      </c>
      <c r="D155" s="20" t="inlineStr">
        <is>
          <t>BS-GRID2OP</t>
        </is>
      </c>
      <c r="E155" s="20" t="inlineStr">
        <is>
          <t>Grid2Op</t>
        </is>
      </c>
      <c r="F155" s="20" t="n"/>
      <c r="G155" s="20" t="n"/>
    </row>
    <row r="156" ht="28.35" customHeight="1" s="15">
      <c r="A156" s="20" t="inlineStr">
        <is>
          <t>DT-110</t>
        </is>
      </c>
      <c r="B156" s="20" t="inlineStr">
        <is>
          <t>LF Energy: open-sourcestichting voor energiesoftware</t>
        </is>
      </c>
      <c r="C156" s="20" t="inlineStr">
        <is>
          <t>gebruikt bouwsteen</t>
        </is>
      </c>
      <c r="D156" s="20" t="inlineStr">
        <is>
          <t>BS-SEF</t>
        </is>
      </c>
      <c r="E156" s="20" t="inlineStr">
        <is>
          <t>LF Energy SEF</t>
        </is>
      </c>
      <c r="F156" s="20" t="n"/>
      <c r="G156" s="20" t="n"/>
    </row>
    <row r="157" ht="28.35" customHeight="1" s="15">
      <c r="A157" s="20" t="inlineStr">
        <is>
          <t>DT-110</t>
        </is>
      </c>
      <c r="B157" s="20" t="inlineStr">
        <is>
          <t>LF Energy: open-sourcestichting voor energiesoftware</t>
        </is>
      </c>
      <c r="C157" s="20" t="inlineStr">
        <is>
          <t>gebruikt bouwsteen</t>
        </is>
      </c>
      <c r="D157" s="20" t="inlineStr">
        <is>
          <t>BS-USEF</t>
        </is>
      </c>
      <c r="E157" s="20" t="inlineStr">
        <is>
          <t>USEF / Shapeshifter (UFTP)</t>
        </is>
      </c>
      <c r="F157" s="20" t="n"/>
      <c r="G157" s="20" t="n"/>
    </row>
    <row r="158" ht="28.35" customHeight="1" s="15">
      <c r="A158" s="20" t="inlineStr">
        <is>
          <t>DT-111</t>
        </is>
      </c>
      <c r="B158" s="20" t="inlineStr">
        <is>
          <t>Living-in.EU (beweging van Europese steden)</t>
        </is>
      </c>
      <c r="C158" s="20" t="inlineStr">
        <is>
          <t>sluit aan op kader</t>
        </is>
      </c>
      <c r="D158" s="20" t="inlineStr">
        <is>
          <t>EU-LDT</t>
        </is>
      </c>
      <c r="E158" s="20" t="inlineStr">
        <is>
          <t>EU Local Digital Twins (LDT CitiVERSE EDIC, LDT-toolbox, MIMs Plus)</t>
        </is>
      </c>
      <c r="F158" s="20" t="n"/>
      <c r="G158" s="20" t="n"/>
    </row>
    <row r="159" ht="28.35" customHeight="1" s="15">
      <c r="A159" s="20" t="inlineStr">
        <is>
          <t>DT-112</t>
        </is>
      </c>
      <c r="B159" s="20" t="inlineStr">
        <is>
          <t>DUET: Digital Urban European Twins</t>
        </is>
      </c>
      <c r="C159" s="20" t="inlineStr">
        <is>
          <t>sluit aan op kader</t>
        </is>
      </c>
      <c r="D159" s="20" t="inlineStr">
        <is>
          <t>HORIZON</t>
        </is>
      </c>
      <c r="E159" s="20" t="inlineStr">
        <is>
          <t>Horizon 2020 / Horizon Europe (incl. BRIDGE-cluster)</t>
        </is>
      </c>
      <c r="F159" s="20" t="n"/>
      <c r="G159" s="20" t="n"/>
    </row>
    <row r="160" ht="28.35" customHeight="1" s="15">
      <c r="A160" s="20" t="inlineStr">
        <is>
          <t>DT-112</t>
        </is>
      </c>
      <c r="B160" s="20" t="inlineStr">
        <is>
          <t>DUET: Digital Urban European Twins</t>
        </is>
      </c>
      <c r="C160" s="20" t="inlineStr">
        <is>
          <t>sluit aan op kader</t>
        </is>
      </c>
      <c r="D160" s="20" t="inlineStr">
        <is>
          <t>EU-LDT</t>
        </is>
      </c>
      <c r="E160" s="20" t="inlineStr">
        <is>
          <t>EU Local Digital Twins (LDT CitiVERSE EDIC, LDT-toolbox, MIMs Plus)</t>
        </is>
      </c>
      <c r="F160" s="20" t="n"/>
      <c r="G160" s="20" t="n"/>
    </row>
    <row r="161" ht="28.35" customHeight="1" s="15">
      <c r="A161" s="20" t="inlineStr">
        <is>
          <t>DT-113</t>
        </is>
      </c>
      <c r="B161" s="20" t="inlineStr">
        <is>
          <t>BIM2TWIN: twin voor bouwproductie</t>
        </is>
      </c>
      <c r="C161" s="20" t="inlineStr">
        <is>
          <t>sluit aan op kader</t>
        </is>
      </c>
      <c r="D161" s="20" t="inlineStr">
        <is>
          <t>HORIZON</t>
        </is>
      </c>
      <c r="E161" s="20" t="inlineStr">
        <is>
          <t>Horizon 2020 / Horizon Europe (incl. BRIDGE-cluster)</t>
        </is>
      </c>
      <c r="F161" s="20" t="n"/>
      <c r="G161" s="20" t="n"/>
    </row>
    <row r="162" ht="15" customHeight="1" s="15">
      <c r="A162" s="20" t="inlineStr">
        <is>
          <t>DT-113</t>
        </is>
      </c>
      <c r="B162" s="20" t="inlineStr">
        <is>
          <t>BIM2TWIN: twin voor bouwproductie</t>
        </is>
      </c>
      <c r="C162" s="20" t="inlineStr">
        <is>
          <t>gebruikt bouwsteen</t>
        </is>
      </c>
      <c r="D162" s="20" t="inlineStr">
        <is>
          <t>BS-IFC</t>
        </is>
      </c>
      <c r="E162" s="20" t="inlineStr">
        <is>
          <t>IFC 4.3 / openBIM</t>
        </is>
      </c>
      <c r="F162" s="20" t="n"/>
      <c r="G162" s="20" t="n"/>
    </row>
    <row r="163" ht="28.35" customHeight="1" s="15">
      <c r="A163" s="20" t="inlineStr">
        <is>
          <t>DT-114</t>
        </is>
      </c>
      <c r="B163" s="20" t="inlineStr">
        <is>
          <t>SAGE / Green Deal Data Space: use case 'CO2 Hub &amp; Building Twins'</t>
        </is>
      </c>
      <c r="C163" s="20" t="inlineStr">
        <is>
          <t>sluit aan op kader</t>
        </is>
      </c>
      <c r="D163" s="20" t="inlineStr">
        <is>
          <t>CEEDS</t>
        </is>
      </c>
      <c r="E163" s="20" t="inlineStr">
        <is>
          <t>Common European Energy Data Space</t>
        </is>
      </c>
      <c r="F163" s="20" t="n"/>
      <c r="G163" s="20" t="n"/>
    </row>
    <row r="164" ht="28.35" customHeight="1" s="15">
      <c r="A164" s="20" t="inlineStr">
        <is>
          <t>DT-116</t>
        </is>
      </c>
      <c r="B164" s="20" t="inlineStr">
        <is>
          <t>Open Energy Twin (Fraunhofer Center Digital Energy)</t>
        </is>
      </c>
      <c r="C164" s="20" t="inlineStr">
        <is>
          <t>sluit aan op kader</t>
        </is>
      </c>
      <c r="D164" s="20" t="inlineStr">
        <is>
          <t>LFE</t>
        </is>
      </c>
      <c r="E164" s="20" t="inlineStr">
        <is>
          <t>LF Energy</t>
        </is>
      </c>
      <c r="F164" s="20" t="n"/>
      <c r="G164" s="20" t="n"/>
    </row>
    <row r="165" ht="28.35" customHeight="1" s="15">
      <c r="A165" s="20" t="inlineStr">
        <is>
          <t>DT-116</t>
        </is>
      </c>
      <c r="B165" s="20" t="inlineStr">
        <is>
          <t>Open Energy Twin (Fraunhofer Center Digital Energy)</t>
        </is>
      </c>
      <c r="C165" s="20" t="inlineStr">
        <is>
          <t>gebruikt bouwsteen</t>
        </is>
      </c>
      <c r="D165" s="20" t="inlineStr">
        <is>
          <t>BS-CIM</t>
        </is>
      </c>
      <c r="E165" s="20" t="inlineStr">
        <is>
          <t>IEC CIM / CGMES</t>
        </is>
      </c>
      <c r="F165" s="20" t="n"/>
      <c r="G165" s="20" t="n"/>
    </row>
    <row r="166" ht="28.35" customHeight="1" s="15">
      <c r="A166" s="20" t="inlineStr">
        <is>
          <t>DT-116</t>
        </is>
      </c>
      <c r="B166" s="20" t="inlineStr">
        <is>
          <t>Open Energy Twin (Fraunhofer Center Digital Energy)</t>
        </is>
      </c>
      <c r="C166" s="20" t="inlineStr">
        <is>
          <t>gebruikt bouwsteen</t>
        </is>
      </c>
      <c r="D166" s="20" t="inlineStr">
        <is>
          <t>BS-IEC61850</t>
        </is>
      </c>
      <c r="E166" s="20" t="inlineStr">
        <is>
          <t>IEC 61850</t>
        </is>
      </c>
      <c r="F166" s="20" t="n"/>
      <c r="G166" s="20" t="n"/>
    </row>
    <row r="167" ht="28.35" customHeight="1" s="15">
      <c r="A167" s="20" t="inlineStr">
        <is>
          <t>DT-118</t>
        </is>
      </c>
      <c r="B167" s="20" t="inlineStr">
        <is>
          <t>Connected Urban Twins (Hamburg, Leipzig, München)</t>
        </is>
      </c>
      <c r="C167" s="20" t="inlineStr">
        <is>
          <t>sluit aan op kader</t>
        </is>
      </c>
      <c r="D167" s="20" t="inlineStr">
        <is>
          <t>EU-LDT</t>
        </is>
      </c>
      <c r="E167" s="20" t="inlineStr">
        <is>
          <t>EU Local Digital Twins (LDT CitiVERSE EDIC, LDT-toolbox, MIMs Plus)</t>
        </is>
      </c>
      <c r="F167" s="20" t="n"/>
      <c r="G167" s="20" t="n"/>
    </row>
    <row r="168" ht="28.35" customHeight="1" s="15">
      <c r="A168" s="20" t="inlineStr">
        <is>
          <t>DT-119</t>
        </is>
      </c>
      <c r="B168" s="20" t="inlineStr">
        <is>
          <t>JUNN: nationale digitale tweeling Frankrijk (jumeau numérique national)</t>
        </is>
      </c>
      <c r="C168" s="20" t="inlineStr">
        <is>
          <t>sluit aan op kader</t>
        </is>
      </c>
      <c r="D168" s="20" t="inlineStr">
        <is>
          <t>EU-LDT</t>
        </is>
      </c>
      <c r="E168" s="20" t="inlineStr">
        <is>
          <t>EU Local Digital Twins (LDT CitiVERSE EDIC, LDT-toolbox, MIMs Plus)</t>
        </is>
      </c>
      <c r="F168" s="20" t="n"/>
      <c r="G168" s="20" t="n"/>
    </row>
    <row r="169" ht="28.35" customHeight="1" s="15">
      <c r="A169" s="20" t="inlineStr">
        <is>
          <t>DT-127</t>
        </is>
      </c>
      <c r="B169" s="20" t="inlineStr">
        <is>
          <t>Geo3D: Estse nationale 3D-tweeling (Maa- ja Ruumiamet)</t>
        </is>
      </c>
      <c r="C169" s="20" t="inlineStr">
        <is>
          <t>gebruikt bouwsteen</t>
        </is>
      </c>
      <c r="D169" s="20" t="inlineStr">
        <is>
          <t>BS-CITYGML</t>
        </is>
      </c>
      <c r="E169" s="20" t="inlineStr">
        <is>
          <t>CityGML 3.0</t>
        </is>
      </c>
      <c r="F169" s="20" t="n"/>
      <c r="G169" s="20" t="n"/>
    </row>
    <row r="170" ht="28.35" customHeight="1" s="15">
      <c r="A170" s="20" t="inlineStr">
        <is>
          <t>DT-128</t>
        </is>
      </c>
      <c r="B170" s="20" t="inlineStr">
        <is>
          <t>Helsinki Energy and Climate Atlas</t>
        </is>
      </c>
      <c r="C170" s="20" t="inlineStr">
        <is>
          <t>sluit aan op kader</t>
        </is>
      </c>
      <c r="D170" s="20" t="inlineStr">
        <is>
          <t>EU-LDT</t>
        </is>
      </c>
      <c r="E170" s="20" t="inlineStr">
        <is>
          <t>EU Local Digital Twins (LDT CitiVERSE EDIC, LDT-toolbox, MIMs Plus)</t>
        </is>
      </c>
      <c r="F170" s="20" t="n"/>
      <c r="G170" s="20" t="n"/>
    </row>
    <row r="171" ht="15" customHeight="1" s="15">
      <c r="A171" s="20" t="inlineStr">
        <is>
          <t>DT-128</t>
        </is>
      </c>
      <c r="B171" s="20" t="inlineStr">
        <is>
          <t>Helsinki Energy and Climate Atlas</t>
        </is>
      </c>
      <c r="C171" s="20" t="inlineStr">
        <is>
          <t>gebruikt bouwsteen</t>
        </is>
      </c>
      <c r="D171" s="20" t="inlineStr">
        <is>
          <t>BS-CITYGML</t>
        </is>
      </c>
      <c r="E171" s="20" t="inlineStr">
        <is>
          <t>CityGML 3.0</t>
        </is>
      </c>
      <c r="F171" s="20" t="n"/>
      <c r="G171" s="20" t="n"/>
    </row>
    <row r="172" ht="28.35" customHeight="1" s="15">
      <c r="A172" s="20" t="inlineStr">
        <is>
          <t>DT-130</t>
        </is>
      </c>
      <c r="B172" s="20" t="inlineStr">
        <is>
          <t>NESO Virtual Energy System (VK)</t>
        </is>
      </c>
      <c r="C172" s="20" t="inlineStr">
        <is>
          <t>sluit aan op kader</t>
        </is>
      </c>
      <c r="D172" s="20" t="inlineStr">
        <is>
          <t>GEMINI</t>
        </is>
      </c>
      <c r="E172" s="20" t="inlineStr">
        <is>
          <t>Gemini Principles / UK National Digital Twin Programme</t>
        </is>
      </c>
      <c r="F172" s="20" t="n"/>
      <c r="G172" s="20" t="n"/>
    </row>
    <row r="173" ht="28.35" customHeight="1" s="15">
      <c r="A173" s="20" t="inlineStr">
        <is>
          <t>DT-131</t>
        </is>
      </c>
      <c r="B173" s="20" t="inlineStr">
        <is>
          <t>NDTP-energiedemonstrator Isle of Wight (VK)</t>
        </is>
      </c>
      <c r="C173" s="20" t="inlineStr">
        <is>
          <t>sluit aan op kader</t>
        </is>
      </c>
      <c r="D173" s="20" t="inlineStr">
        <is>
          <t>GEMINI</t>
        </is>
      </c>
      <c r="E173" s="20" t="inlineStr">
        <is>
          <t>Gemini Principles / UK National Digital Twin Programme</t>
        </is>
      </c>
      <c r="F173" s="20" t="n"/>
      <c r="G173" s="20" t="n"/>
    </row>
    <row r="174" ht="28.35" customHeight="1" s="15">
      <c r="A174" s="20" t="inlineStr">
        <is>
          <t>DT-132</t>
        </is>
      </c>
      <c r="B174" s="20" t="inlineStr">
        <is>
          <t>CReDo: Climate Resilience Demonstrator (VK)</t>
        </is>
      </c>
      <c r="C174" s="20" t="inlineStr">
        <is>
          <t>sluit aan op kader</t>
        </is>
      </c>
      <c r="D174" s="20" t="inlineStr">
        <is>
          <t>GEMINI</t>
        </is>
      </c>
      <c r="E174" s="20" t="inlineStr">
        <is>
          <t>Gemini Principles / UK National Digital Twin Programme</t>
        </is>
      </c>
      <c r="F174" s="20" t="n"/>
      <c r="G174" s="20" t="n"/>
    </row>
    <row r="175" ht="15" customHeight="1" s="15">
      <c r="A175" s="20" t="inlineStr">
        <is>
          <t>DT-137</t>
        </is>
      </c>
      <c r="B175" s="20" t="inlineStr">
        <is>
          <t>Digital Twin Victoria (Australië)</t>
        </is>
      </c>
      <c r="C175" s="20" t="inlineStr">
        <is>
          <t>gebruikt bouwsteen</t>
        </is>
      </c>
      <c r="D175" s="20" t="inlineStr">
        <is>
          <t>BS-TERRIA</t>
        </is>
      </c>
      <c r="E175" s="20" t="inlineStr">
        <is>
          <t>TerriaJS</t>
        </is>
      </c>
      <c r="F175" s="20" t="n"/>
      <c r="G175" s="20" t="n"/>
    </row>
    <row r="176" ht="15" customHeight="1" s="15">
      <c r="A176" s="20" t="inlineStr">
        <is>
          <t>DT-138</t>
        </is>
      </c>
      <c r="B176" s="20" t="inlineStr">
        <is>
          <t>NSW Spatial Digital Twin (Australië)</t>
        </is>
      </c>
      <c r="C176" s="20" t="inlineStr">
        <is>
          <t>gebruikt bouwsteen</t>
        </is>
      </c>
      <c r="D176" s="20" t="inlineStr">
        <is>
          <t>BS-TERRIA</t>
        </is>
      </c>
      <c r="E176" s="20" t="inlineStr">
        <is>
          <t>TerriaJS</t>
        </is>
      </c>
      <c r="F176" s="20" t="n"/>
      <c r="G176" s="20" t="n"/>
    </row>
    <row r="177" ht="28.35" customHeight="1" s="15">
      <c r="A177" s="20" t="inlineStr">
        <is>
          <t>DT-140</t>
        </is>
      </c>
      <c r="B177" s="20" t="inlineStr">
        <is>
          <t>Project PLATEAU: open 3D-stadsmodellen (Japan)</t>
        </is>
      </c>
      <c r="C177" s="20" t="inlineStr">
        <is>
          <t>gebruikt bouwsteen</t>
        </is>
      </c>
      <c r="D177" s="20" t="inlineStr">
        <is>
          <t>BS-CITYGML</t>
        </is>
      </c>
      <c r="E177" s="20" t="inlineStr">
        <is>
          <t>CityGML 3.0</t>
        </is>
      </c>
      <c r="F177" s="20" t="n"/>
      <c r="G177" s="20" t="n"/>
    </row>
    <row r="178" ht="28.35" customHeight="1" s="15">
      <c r="A178" s="20" t="inlineStr">
        <is>
          <t>DT-143</t>
        </is>
      </c>
      <c r="B178" s="20" t="inlineStr">
        <is>
          <t>OGC Urban Digital Twins Domain Working Group</t>
        </is>
      </c>
      <c r="C178" s="20" t="inlineStr">
        <is>
          <t>gebruikt bouwsteen</t>
        </is>
      </c>
      <c r="D178" s="20" t="inlineStr">
        <is>
          <t>BS-CITYGML</t>
        </is>
      </c>
      <c r="E178" s="20" t="inlineStr">
        <is>
          <t>CityGML 3.0</t>
        </is>
      </c>
      <c r="F178" s="20" t="n"/>
      <c r="G178" s="20" t="n"/>
    </row>
    <row r="179" ht="28.35" customHeight="1" s="15">
      <c r="A179" s="20" t="inlineStr">
        <is>
          <t>DT-143</t>
        </is>
      </c>
      <c r="B179" s="20" t="inlineStr">
        <is>
          <t>OGC Urban Digital Twins Domain Working Group</t>
        </is>
      </c>
      <c r="C179" s="20" t="inlineStr">
        <is>
          <t>gebruikt bouwsteen</t>
        </is>
      </c>
      <c r="D179" s="20" t="inlineStr">
        <is>
          <t>BS-3DTILES</t>
        </is>
      </c>
      <c r="E179" s="20" t="inlineStr">
        <is>
          <t>3D Tiles (Nederland)</t>
        </is>
      </c>
      <c r="F179" s="20" t="n"/>
      <c r="G179" s="20" t="n"/>
    </row>
    <row r="180" ht="28.35" customHeight="1" s="15">
      <c r="A180" s="20" t="inlineStr">
        <is>
          <t>DT-144</t>
        </is>
      </c>
      <c r="B180" s="20" t="inlineStr">
        <is>
          <t>Digital Twin Consortium</t>
        </is>
      </c>
      <c r="C180" s="20" t="inlineStr">
        <is>
          <t>sluit aan op kader</t>
        </is>
      </c>
      <c r="D180" s="20" t="inlineStr">
        <is>
          <t>ISO30173</t>
        </is>
      </c>
      <c r="E180" s="20" t="inlineStr">
        <is>
          <t>ISO/IEC 30173:2023 Digital twin: Concepts and terminology</t>
        </is>
      </c>
      <c r="F180" s="20" t="n"/>
      <c r="G180" s="20" t="n"/>
    </row>
    <row r="181" ht="15" customHeight="1" s="15">
      <c r="A181" s="20" t="inlineStr">
        <is>
          <t>DT-145</t>
        </is>
      </c>
      <c r="B181" s="20" t="inlineStr">
        <is>
          <t>buildingSMART Digital Twin Working Group</t>
        </is>
      </c>
      <c r="C181" s="20" t="inlineStr">
        <is>
          <t>gebruikt bouwsteen</t>
        </is>
      </c>
      <c r="D181" s="20" t="inlineStr">
        <is>
          <t>BS-IFC</t>
        </is>
      </c>
      <c r="E181" s="20" t="inlineStr">
        <is>
          <t>IFC 4.3 / openBIM</t>
        </is>
      </c>
      <c r="F181" s="20" t="n"/>
      <c r="G181" s="20" t="n"/>
    </row>
    <row r="182" ht="28.35" customHeight="1" s="15">
      <c r="A182" s="20" t="inlineStr">
        <is>
          <t>DT-012</t>
        </is>
      </c>
      <c r="B182" s="20" t="inlineStr">
        <is>
          <t>Nationale Faciliteit Digital Twin Elektriciteitssysteem</t>
        </is>
      </c>
      <c r="C182" s="20" t="inlineStr">
        <is>
          <t>bouwt voort op</t>
        </is>
      </c>
      <c r="D182" s="20" t="inlineStr">
        <is>
          <t>DT-015</t>
        </is>
      </c>
      <c r="E182" s="20" t="inlineStr">
        <is>
          <t>TU Delft / TenneT simulatie Nederlands transportnet</t>
        </is>
      </c>
      <c r="F182" s="20" t="inlineStr">
        <is>
          <t>Nationale Faciliteit als opvolger/uitbreiding van TU Delft/TenneT-simulatie (te verifiëren)</t>
        </is>
      </c>
      <c r="G182" s="20" t="n"/>
    </row>
    <row r="183" ht="41.75" customHeight="1" s="15">
      <c r="A183" s="20" t="inlineStr">
        <is>
          <t>DT-012</t>
        </is>
      </c>
      <c r="B183" s="20" t="inlineStr">
        <is>
          <t>Nationale Faciliteit Digital Twin Elektriciteitssysteem</t>
        </is>
      </c>
      <c r="C183" s="20" t="inlineStr">
        <is>
          <t>vergelijkbaar met</t>
        </is>
      </c>
      <c r="D183" s="20" t="inlineStr">
        <is>
          <t>DT-123</t>
        </is>
      </c>
      <c r="E183" s="20" t="inlineStr">
        <is>
          <t>EDiT: nationale digitale tweeling van het elektriciteitsnet (Zweden)</t>
        </is>
      </c>
      <c r="F183" s="20" t="inlineStr">
        <is>
          <t>Beide: nationale systeemtwin elektriciteit (NL 2026, SE 2026-2029)</t>
        </is>
      </c>
      <c r="G183" s="20" t="inlineStr">
        <is>
          <t>https://www.ri.se/en/energy-and-electrification/project/national-digital-twin-for-the-electricity-grid</t>
        </is>
      </c>
    </row>
    <row r="184" ht="28.35" customHeight="1" s="15">
      <c r="A184" s="20" t="inlineStr">
        <is>
          <t>DT-012</t>
        </is>
      </c>
      <c r="B184" s="20" t="inlineStr">
        <is>
          <t>Nationale Faciliteit Digital Twin Elektriciteitssysteem</t>
        </is>
      </c>
      <c r="C184" s="20" t="inlineStr">
        <is>
          <t>vergelijkbaar met</t>
        </is>
      </c>
      <c r="D184" s="20" t="inlineStr">
        <is>
          <t>DT-133</t>
        </is>
      </c>
      <c r="E184" s="20" t="inlineStr">
        <is>
          <t>NREL ARIES: Advanced Research on Integrated Energy Systems (VS)</t>
        </is>
      </c>
      <c r="F184" s="20" t="inlineStr">
        <is>
          <t>Emulatie- en labfaciliteit op nationale schaal</t>
        </is>
      </c>
      <c r="G184" s="20" t="inlineStr">
        <is>
          <t>https://nrel.gov/aries/annual-report-2024</t>
        </is>
      </c>
    </row>
    <row r="185" ht="28.35" customHeight="1" s="15">
      <c r="A185" s="20" t="inlineStr">
        <is>
          <t>DT-014</t>
        </is>
      </c>
      <c r="B185" s="20" t="inlineStr">
        <is>
          <t>Control Room of the Future en Digital Twin elektriciteitsnetwerk (ESP-lab TU Delft)</t>
        </is>
      </c>
      <c r="C185" s="20" t="inlineStr">
        <is>
          <t>is node van</t>
        </is>
      </c>
      <c r="D185" s="20" t="inlineStr">
        <is>
          <t>DT-103</t>
        </is>
      </c>
      <c r="E185" s="20" t="inlineStr">
        <is>
          <t>AI-EFFECT: Europese test- en experimenteerfaciliteit voor AI in energie</t>
        </is>
      </c>
      <c r="F185" s="20" t="inlineStr">
        <is>
          <t>Control Room of the Future + Delft AI Energy Lab vormen NL-node AI-EFFECT</t>
        </is>
      </c>
      <c r="G185" s="20" t="inlineStr">
        <is>
          <t>https://tudelft.nl/en/2024/eemcs/advancing-ai-integration-in-the-european-energy-sector</t>
        </is>
      </c>
    </row>
    <row r="186" ht="28.35" customHeight="1" s="15">
      <c r="A186" s="20" t="inlineStr">
        <is>
          <t>DT-028</t>
        </is>
      </c>
      <c r="B186" s="20" t="inlineStr">
        <is>
          <t>ORTESE Emmen: digital twin/shadow lokaal energiesysteem (incl. PRIME)</t>
        </is>
      </c>
      <c r="C186" s="20" t="inlineStr">
        <is>
          <t>is praktijkcase van</t>
        </is>
      </c>
      <c r="D186" s="20" t="inlineStr">
        <is>
          <t>DT-003</t>
        </is>
      </c>
      <c r="E186" s="20" t="inlineStr">
        <is>
          <t>NEDRA: Nederlandse Energie Domein Referentie Architectuur</t>
        </is>
      </c>
      <c r="F186" s="20" t="inlineStr">
        <is>
          <t>ORTESE uitgewerkt met NEDRA-denkkader (Digital Energy Systems, 11-12-2025)</t>
        </is>
      </c>
      <c r="G186" s="20" t="inlineStr">
        <is>
          <t>track_4_2_nedra_verbindt_v1-0_digital_energy_systems.pdf</t>
        </is>
      </c>
    </row>
    <row r="187" ht="28.35" customHeight="1" s="15">
      <c r="A187" s="20" t="inlineStr">
        <is>
          <t>DT-031</t>
        </is>
      </c>
      <c r="B187" s="20" t="inlineStr">
        <is>
          <t>Digital Twin Drechtsteden (HOLON/ZEnMo)</t>
        </is>
      </c>
      <c r="C187" s="20" t="inlineStr">
        <is>
          <t>deelt model met</t>
        </is>
      </c>
      <c r="D187" s="20" t="inlineStr">
        <is>
          <t>DT-032</t>
        </is>
      </c>
      <c r="E187" s="20" t="inlineStr">
        <is>
          <t>Amersfoort De Wieken-Vinkenhoef energiehub-twin</t>
        </is>
      </c>
      <c r="F187" s="20" t="inlineStr">
        <is>
          <t>Beide op HOLON/ZEnMo</t>
        </is>
      </c>
      <c r="G187" s="20" t="n"/>
    </row>
    <row r="188" ht="28.35" customHeight="1" s="15">
      <c r="A188" s="20" t="inlineStr">
        <is>
          <t>DT-088</t>
        </is>
      </c>
      <c r="B188" s="20" t="inlineStr">
        <is>
          <t>DMI x ADE: federatieve energie-twins en living labs</t>
        </is>
      </c>
      <c r="C188" s="20" t="inlineStr">
        <is>
          <t>verbindt</t>
        </is>
      </c>
      <c r="D188" s="20" t="inlineStr">
        <is>
          <t>DT-006</t>
        </is>
      </c>
      <c r="E188" s="20" t="inlineStr">
        <is>
          <t>Programma Digitale Tweeling / NLDT-architectuur</t>
        </is>
      </c>
      <c r="F188" s="20" t="inlineStr">
        <is>
          <t>DMI brengt NLDT-stelsel naar energie</t>
        </is>
      </c>
      <c r="G188" s="20" t="n"/>
    </row>
    <row r="189" ht="28.35" customHeight="1" s="15">
      <c r="A189" s="20" t="inlineStr">
        <is>
          <t>DT-088</t>
        </is>
      </c>
      <c r="B189" s="20" t="inlineStr">
        <is>
          <t>DMI x ADE: federatieve energie-twins en living labs</t>
        </is>
      </c>
      <c r="C189" s="20" t="inlineStr">
        <is>
          <t>verbindt</t>
        </is>
      </c>
      <c r="D189" s="20" t="inlineStr">
        <is>
          <t>DT-002</t>
        </is>
      </c>
      <c r="E189" s="20" t="inlineStr">
        <is>
          <t>Actieagenda Digitalisering Energiesysteem (ADE)</t>
        </is>
      </c>
      <c r="F189" s="20" t="inlineStr">
        <is>
          <t>Living labs onder ADE voorgesteld</t>
        </is>
      </c>
      <c r="G189" s="20" t="n"/>
    </row>
    <row r="190" ht="28.35" customHeight="1" s="15">
      <c r="A190" s="20" t="inlineStr">
        <is>
          <t>DT-100</t>
        </is>
      </c>
      <c r="B190" s="20" t="inlineStr">
        <is>
          <t>DSO4DT</t>
        </is>
      </c>
      <c r="C190" s="20" t="inlineStr">
        <is>
          <t>is onderdeel van</t>
        </is>
      </c>
      <c r="D190" s="20" t="inlineStr">
        <is>
          <t>DT-099</t>
        </is>
      </c>
      <c r="E190" s="20" t="inlineStr">
        <is>
          <t>ENTSO-E / DSO Entity: digital twin EU-net (use cases, federated approach, toolbox)</t>
        </is>
      </c>
      <c r="F190" s="20" t="inlineStr">
        <is>
          <t>DSO4DT mobiliseert DSO's voor EU-grid-twin</t>
        </is>
      </c>
      <c r="G190" s="20" t="n"/>
    </row>
    <row r="191" ht="28.35" customHeight="1" s="15">
      <c r="A191" s="20" t="inlineStr">
        <is>
          <t>DT-099</t>
        </is>
      </c>
      <c r="B191" s="20" t="inlineStr">
        <is>
          <t>ENTSO-E / DSO Entity: digital twin EU-net (use cases, federated approach, toolbox)</t>
        </is>
      </c>
      <c r="C191" s="20" t="inlineStr">
        <is>
          <t>levert toolbox voor</t>
        </is>
      </c>
      <c r="D191" s="20" t="inlineStr">
        <is>
          <t>DT-004</t>
        </is>
      </c>
      <c r="E191" s="20" t="inlineStr">
        <is>
          <t>EU Strategic Roadmap for Digitalisation and AI in Energy</t>
        </is>
      </c>
      <c r="F191" s="20" t="inlineStr">
        <is>
          <t>Digital twin toolbox-blauwdruk medio 2026 (Roadmap actie 3)</t>
        </is>
      </c>
      <c r="G191" s="20" t="n"/>
    </row>
    <row r="192" ht="28.35" customHeight="1" s="15">
      <c r="A192" s="20" t="inlineStr">
        <is>
          <t>DT-131</t>
        </is>
      </c>
      <c r="B192" s="20" t="inlineStr">
        <is>
          <t>NDTP-energiedemonstrator Isle of Wight (VK)</t>
        </is>
      </c>
      <c r="C192" s="20" t="inlineStr">
        <is>
          <t>is onderdeel van</t>
        </is>
      </c>
      <c r="D192" s="20" t="inlineStr">
        <is>
          <t>DT-102</t>
        </is>
      </c>
      <c r="E192" s="20" t="inlineStr">
        <is>
          <t>UK National Digital Twin Programme (o.a. NOVA)</t>
        </is>
      </c>
      <c r="F192" s="20" t="inlineStr">
        <is>
          <t>Energiedemonstrator binnen UK NDTP</t>
        </is>
      </c>
      <c r="G192" s="20" t="n"/>
    </row>
    <row r="193" ht="28.35" customHeight="1" s="15">
      <c r="A193" s="20" t="inlineStr">
        <is>
          <t>DT-130</t>
        </is>
      </c>
      <c r="B193" s="20" t="inlineStr">
        <is>
          <t>NESO Virtual Energy System (VK)</t>
        </is>
      </c>
      <c r="C193" s="20" t="inlineStr">
        <is>
          <t>vergelijkbaar met</t>
        </is>
      </c>
      <c r="D193" s="20" t="inlineStr">
        <is>
          <t>DT-099</t>
        </is>
      </c>
      <c r="E193" s="20" t="inlineStr">
        <is>
          <t>ENTSO-E / DSO Entity: digital twin EU-net (use cases, federated approach, toolbox)</t>
        </is>
      </c>
      <c r="F193" s="20" t="inlineStr">
        <is>
          <t>Federatief model van gekoppelde twins op open raamwerk</t>
        </is>
      </c>
      <c r="G193" s="20" t="n"/>
    </row>
    <row r="194" ht="28.35" customHeight="1" s="15">
      <c r="A194" s="20" t="inlineStr">
        <is>
          <t>DT-069</t>
        </is>
      </c>
      <c r="B194" s="20" t="inlineStr">
        <is>
          <t>Power Grid Model en OpenSTEF (LF Energy, oorsprong Alliander)</t>
        </is>
      </c>
      <c r="C194" s="20" t="inlineStr">
        <is>
          <t>is onderdeel van</t>
        </is>
      </c>
      <c r="D194" s="20" t="inlineStr">
        <is>
          <t>DT-110</t>
        </is>
      </c>
      <c r="E194" s="20" t="inlineStr">
        <is>
          <t>LF Energy: open-sourcestichting voor energiesoftware</t>
        </is>
      </c>
      <c r="F194" s="20" t="inlineStr">
        <is>
          <t>Projecten onder LF Energy</t>
        </is>
      </c>
      <c r="G194" s="20" t="n"/>
    </row>
    <row r="195" ht="28.35" customHeight="1" s="15">
      <c r="A195" s="20" t="inlineStr">
        <is>
          <t>DT-070</t>
        </is>
      </c>
      <c r="B195" s="20" t="inlineStr">
        <is>
          <t>PowSyBl, Dynawo en Grid2Op (LF Energy, oorsprong RTE)</t>
        </is>
      </c>
      <c r="C195" s="20" t="inlineStr">
        <is>
          <t>is onderdeel van</t>
        </is>
      </c>
      <c r="D195" s="20" t="inlineStr">
        <is>
          <t>DT-110</t>
        </is>
      </c>
      <c r="E195" s="20" t="inlineStr">
        <is>
          <t>LF Energy: open-sourcestichting voor energiesoftware</t>
        </is>
      </c>
      <c r="F195" s="20" t="inlineStr">
        <is>
          <t>Projecten onder LF Energy</t>
        </is>
      </c>
      <c r="G195" s="20" t="n"/>
    </row>
    <row r="196" ht="28.35" customHeight="1" s="15">
      <c r="A196" s="20" t="inlineStr">
        <is>
          <t>DT-116</t>
        </is>
      </c>
      <c r="B196" s="20" t="inlineStr">
        <is>
          <t>Open Energy Twin (Fraunhofer Center Digital Energy)</t>
        </is>
      </c>
      <c r="C196" s="20" t="inlineStr">
        <is>
          <t>is geassocieerd met</t>
        </is>
      </c>
      <c r="D196" s="20" t="inlineStr">
        <is>
          <t>DT-110</t>
        </is>
      </c>
      <c r="E196" s="20" t="inlineStr">
        <is>
          <t>LF Energy: open-sourcestichting voor energiesoftware</t>
        </is>
      </c>
      <c r="F196" s="20" t="inlineStr">
        <is>
          <t>LF Energy is geassocieerde partner van Open Energy Twin</t>
        </is>
      </c>
      <c r="G196" s="20" t="n"/>
    </row>
    <row r="197" ht="28.35" customHeight="1" s="15">
      <c r="A197" s="20" t="inlineStr">
        <is>
          <t>DT-038</t>
        </is>
      </c>
      <c r="B197" s="20" t="inlineStr">
        <is>
          <t>TenneT: netplanning met Destination Earth-data</t>
        </is>
      </c>
      <c r="C197" s="20" t="inlineStr">
        <is>
          <t>gebruikt data van</t>
        </is>
      </c>
      <c r="D197" s="20" t="inlineStr">
        <is>
          <t>DT-101</t>
        </is>
      </c>
      <c r="E197" s="20" t="inlineStr">
        <is>
          <t>Destination Earth</t>
        </is>
      </c>
      <c r="F197" s="20" t="inlineStr">
        <is>
          <t>TenneT gebruikt DestinE-klimaatdata</t>
        </is>
      </c>
      <c r="G197" s="20" t="n"/>
    </row>
    <row r="198" ht="28.35" customHeight="1" s="15">
      <c r="A198" s="20" t="inlineStr">
        <is>
          <t>DT-125</t>
        </is>
      </c>
      <c r="B198" s="20" t="inlineStr">
        <is>
          <t>ESB Networks: klimaatbestendige netwerktwin (Neara)</t>
        </is>
      </c>
      <c r="C198" s="20" t="inlineStr">
        <is>
          <t>deelt leverancier met</t>
        </is>
      </c>
      <c r="D198" s="20" t="inlineStr">
        <is>
          <t>DT-139</t>
        </is>
      </c>
      <c r="E198" s="20" t="inlineStr">
        <is>
          <t>Ausgrid x Neara: netwerktwin (Australië)</t>
        </is>
      </c>
      <c r="F198" s="20" t="inlineStr">
        <is>
          <t>Beide met Neara</t>
        </is>
      </c>
      <c r="G198" s="20" t="n"/>
    </row>
    <row r="199" ht="28.35" customHeight="1" s="15">
      <c r="A199" s="20" t="inlineStr">
        <is>
          <t>DT-098</t>
        </is>
      </c>
      <c r="B199" s="20" t="inlineStr">
        <is>
          <t>TwinEU</t>
        </is>
      </c>
      <c r="C199" s="20" t="inlineStr">
        <is>
          <t>heeft NL-partner</t>
        </is>
      </c>
      <c r="D199" s="20" t="inlineStr">
        <is>
          <t>DT-035</t>
        </is>
      </c>
      <c r="E199" s="20" t="inlineStr">
        <is>
          <t>Liander: Gridscale X LV Insights</t>
        </is>
      </c>
      <c r="F199" s="20" t="inlineStr">
        <is>
          <t>Alliander is TwinEU-partner (zelfde organisatie als Liander-twins)</t>
        </is>
      </c>
      <c r="G199" s="20" t="inlineStr">
        <is>
          <t>https://cordis.europa.eu/project/id/101136119</t>
        </is>
      </c>
    </row>
    <row r="200" ht="28.35" customHeight="1" s="15">
      <c r="A200" s="20" t="inlineStr">
        <is>
          <t>DT-098</t>
        </is>
      </c>
      <c r="B200" s="20" t="inlineStr">
        <is>
          <t>TwinEU</t>
        </is>
      </c>
      <c r="C200" s="20" t="inlineStr">
        <is>
          <t>heeft NL-partner</t>
        </is>
      </c>
      <c r="D200" s="20" t="inlineStr">
        <is>
          <t>DT-014</t>
        </is>
      </c>
      <c r="E200" s="20" t="inlineStr">
        <is>
          <t>Control Room of the Future en Digital Twin elektriciteitsnetwerk (ESP-lab TU Delft)</t>
        </is>
      </c>
      <c r="F200" s="20" t="inlineStr">
        <is>
          <t>TU Delft is TwinEU-partner</t>
        </is>
      </c>
      <c r="G200" s="20" t="inlineStr">
        <is>
          <t>https://cordis.europa.eu/project/id/101136119</t>
        </is>
      </c>
    </row>
    <row r="201" ht="28.35" customHeight="1" s="15">
      <c r="A201" s="20" t="inlineStr">
        <is>
          <t>DT-009</t>
        </is>
      </c>
      <c r="B201" s="20" t="inlineStr">
        <is>
          <t>EU Local Digital Twins: LDT CitiVERSE EDIC, LDT-toolbox en MIMs Plus</t>
        </is>
      </c>
      <c r="C201" s="20" t="inlineStr">
        <is>
          <t>is randkader voor</t>
        </is>
      </c>
      <c r="D201" s="20" t="inlineStr">
        <is>
          <t>DT-006</t>
        </is>
      </c>
      <c r="E201" s="20" t="inlineStr">
        <is>
          <t>Programma Digitale Tweeling / NLDT-architectuur</t>
        </is>
      </c>
      <c r="F201" s="20" t="inlineStr">
        <is>
          <t>NLDT sluit aan op EU LDT/CitiVERSE</t>
        </is>
      </c>
      <c r="G201" s="20" t="n"/>
    </row>
    <row r="202" ht="41.75" customHeight="1" s="15">
      <c r="A202" s="20" t="inlineStr">
        <is>
          <t>DT-090</t>
        </is>
      </c>
      <c r="B202" s="20" t="inlineStr">
        <is>
          <t>Nationaal Expertisecentrum Woningbouw: digital twinning in de woningbouwopgave</t>
        </is>
      </c>
      <c r="C202" s="20" t="inlineStr">
        <is>
          <t>verwijst naar</t>
        </is>
      </c>
      <c r="D202" s="20" t="inlineStr">
        <is>
          <t>DT-006</t>
        </is>
      </c>
      <c r="E202" s="20" t="inlineStr">
        <is>
          <t>Programma Digitale Tweeling / NLDT-architectuur</t>
        </is>
      </c>
      <c r="F202" s="20" t="inlineStr">
        <is>
          <t>NEW verwijst naar Zicht op Nederland, Geonovum, DMI, digiGO</t>
        </is>
      </c>
      <c r="G202" s="20" t="inlineStr">
        <is>
          <t>https://expertisecentrumwoningbouw.nl/artikelen/digital-twinning-de-woningbouwopgave</t>
        </is>
      </c>
    </row>
    <row r="203" ht="28.35" customHeight="1" s="15">
      <c r="A203" s="20" t="inlineStr">
        <is>
          <t>DT-119</t>
        </is>
      </c>
      <c r="B203" s="20" t="inlineStr">
        <is>
          <t>JUNN: nationale digitale tweeling Frankrijk (jumeau numérique national)</t>
        </is>
      </c>
      <c r="C203" s="20" t="inlineStr">
        <is>
          <t>vergelijkbaar met</t>
        </is>
      </c>
      <c r="D203" s="20" t="inlineStr">
        <is>
          <t>DT-006</t>
        </is>
      </c>
      <c r="E203" s="20" t="inlineStr">
        <is>
          <t>Programma Digitale Tweeling / NLDT-architectuur</t>
        </is>
      </c>
      <c r="F203" s="20" t="inlineStr">
        <is>
          <t>Nationale publieke twin-infrastructuur voor alle gemeenten</t>
        </is>
      </c>
      <c r="G203" s="20" t="n"/>
    </row>
    <row r="204" ht="28.35" customHeight="1" s="15">
      <c r="A204" s="20" t="inlineStr">
        <is>
          <t>DT-140</t>
        </is>
      </c>
      <c r="B204" s="20" t="inlineStr">
        <is>
          <t>Project PLATEAU: open 3D-stadsmodellen (Japan)</t>
        </is>
      </c>
      <c r="C204" s="20" t="inlineStr">
        <is>
          <t>vergelijkbaar met</t>
        </is>
      </c>
      <c r="D204" s="20" t="inlineStr">
        <is>
          <t>DT-048</t>
        </is>
      </c>
      <c r="E204" s="20" t="inlineStr">
        <is>
          <t>Open Urban Platform Rotterdam / Schiehaven Noord</t>
        </is>
      </c>
      <c r="F204" s="20" t="inlineStr">
        <is>
          <t>Open semantische 3D-stadsbasis (PLATEAU vs. 3D BAG/3D Tiles)</t>
        </is>
      </c>
      <c r="G204" s="20" t="n"/>
    </row>
    <row r="205" ht="28.35" customHeight="1" s="15">
      <c r="A205" s="20" t="inlineStr">
        <is>
          <t>DT-059</t>
        </is>
      </c>
      <c r="B205" s="20" t="inlineStr">
        <is>
          <t>SYMPHONIE: meerschalige multi-commodity energiehubs (MOOI)</t>
        </is>
      </c>
      <c r="C205" s="20" t="inlineStr">
        <is>
          <t>vergelijkbaar met</t>
        </is>
      </c>
      <c r="D205" s="20" t="inlineStr">
        <is>
          <t>DT-016</t>
        </is>
      </c>
      <c r="E205" s="20" t="inlineStr">
        <is>
          <t>SynergyS: Smart Multi-Commodity Energy System</t>
        </is>
      </c>
      <c r="F205" s="20" t="inlineStr">
        <is>
          <t>Beide Hanze/Entrance; SYMPHONIE werkt meerschalig met TenneT</t>
        </is>
      </c>
      <c r="G205" s="20" t="inlineStr">
        <is>
          <t>Rapport datagovernance 2026</t>
        </is>
      </c>
    </row>
    <row r="206" ht="41.75" customHeight="1" s="15">
      <c r="A206" s="20" t="inlineStr">
        <is>
          <t>DT-024</t>
        </is>
      </c>
      <c r="B206" s="20" t="inlineStr">
        <is>
          <t>Realtime systeemwerking voor netwerkverbetering en transportefficiëntie (MOOI)</t>
        </is>
      </c>
      <c r="C206" s="20" t="inlineStr">
        <is>
          <t>verwant aan</t>
        </is>
      </c>
      <c r="D206" s="20" t="inlineStr">
        <is>
          <t>DT-014</t>
        </is>
      </c>
      <c r="E206" s="20" t="inlineStr">
        <is>
          <t>Control Room of the Future en Digital Twin elektriciteitsnetwerk (ESP-lab TU Delft)</t>
        </is>
      </c>
      <c r="F206" s="20" t="inlineStr">
        <is>
          <t>Real-time netoperatie (lab en algoritmes)</t>
        </is>
      </c>
      <c r="G206" s="20" t="inlineStr">
        <is>
          <t>Rapport datagovernance 2026</t>
        </is>
      </c>
    </row>
    <row r="207" ht="28.35" customHeight="1" s="15">
      <c r="A207" s="20" t="inlineStr">
        <is>
          <t>DT-055</t>
        </is>
      </c>
      <c r="B207" s="20" t="inlineStr">
        <is>
          <t>Energy Control Businesspark Ecofactorij: digital twin en AI-sturing privaat net (MOOI)</t>
        </is>
      </c>
      <c r="C207" s="20" t="inlineStr">
        <is>
          <t>vergelijkbaar met</t>
        </is>
      </c>
      <c r="D207" s="20" t="inlineStr">
        <is>
          <t>DT-031</t>
        </is>
      </c>
      <c r="E207" s="20" t="inlineStr">
        <is>
          <t>Digital Twin Drechtsteden (HOLON/ZEnMo)</t>
        </is>
      </c>
      <c r="F207" s="20" t="inlineStr">
        <is>
          <t>Bedrijventerreintwin; Ecofactorij stuurt, Drechtsteden plant</t>
        </is>
      </c>
      <c r="G207" s="20" t="inlineStr">
        <is>
          <t>Rapport datagovernance 2026</t>
        </is>
      </c>
    </row>
    <row r="208" ht="28.35" customHeight="1" s="15">
      <c r="A208" s="20" t="inlineStr">
        <is>
          <t>DT-056</t>
        </is>
      </c>
      <c r="B208" s="20" t="inlineStr">
        <is>
          <t>LEO-platform (ICR3ATE): digital twins per aansluiting en energiegemeenschap</t>
        </is>
      </c>
      <c r="C208" s="20" t="inlineStr">
        <is>
          <t>vergelijkbaar met</t>
        </is>
      </c>
      <c r="D208" s="20" t="inlineStr">
        <is>
          <t>DT-105</t>
        </is>
      </c>
      <c r="E208" s="20" t="inlineStr">
        <is>
          <t>TwinERGY: consumentgerichte digital twin voor demand response</t>
        </is>
      </c>
      <c r="F208" s="20" t="inlineStr">
        <is>
          <t>Twin rond aansluiting/consument voor flex</t>
        </is>
      </c>
      <c r="G208" s="20" t="inlineStr">
        <is>
          <t>Rapport datagovernance 2026</t>
        </is>
      </c>
    </row>
    <row r="209" ht="28.35" customHeight="1" s="15">
      <c r="A209" s="20" t="inlineStr">
        <is>
          <t>DT-057</t>
        </is>
      </c>
      <c r="B209" s="20" t="inlineStr">
        <is>
          <t>Joule4Joule: netbewuste wijkenergiesystemen met digital twins</t>
        </is>
      </c>
      <c r="C209" s="20" t="inlineStr">
        <is>
          <t>gebruikt model van</t>
        </is>
      </c>
      <c r="D209" s="20" t="inlineStr">
        <is>
          <t>BS-HOLON</t>
        </is>
      </c>
      <c r="E209" s="20" t="inlineStr">
        <is>
          <t>HOLON-model (ZEnMo)</t>
        </is>
      </c>
      <c r="F209" s="20" t="inlineStr">
        <is>
          <t>Zenmo is partner (gebruik HOLON te verifiëren)</t>
        </is>
      </c>
      <c r="G209" s="20" t="inlineStr">
        <is>
          <t>Rapport datagovernance 2026</t>
        </is>
      </c>
    </row>
    <row r="210" ht="28.35" customHeight="1" s="15">
      <c r="A210" s="20" t="inlineStr">
        <is>
          <t>DT-078</t>
        </is>
      </c>
      <c r="B210" s="20" t="inlineStr">
        <is>
          <t>EIGEN: blauwdruk en toolset voor energiehubs op bedrijventerreinen</t>
        </is>
      </c>
      <c r="C210" s="20" t="inlineStr">
        <is>
          <t>levert aanpak voor</t>
        </is>
      </c>
      <c r="D210" s="20" t="inlineStr">
        <is>
          <t>DT-046</t>
        </is>
      </c>
      <c r="E210" s="20" t="inlineStr">
        <is>
          <t>Energiehub-twins provincie Utrecht</t>
        </is>
      </c>
      <c r="F210" s="20" t="inlineStr">
        <is>
          <t>Blauwdruk energiehubs bedrijventerreinen</t>
        </is>
      </c>
      <c r="G210" s="20" t="inlineStr">
        <is>
          <t>Rapport datagovernance 2026</t>
        </is>
      </c>
    </row>
    <row r="211" ht="15" customHeight="1" s="15">
      <c r="A211" s="20" t="inlineStr">
        <is>
          <t>DT-081</t>
        </is>
      </c>
      <c r="B211" s="20" t="inlineStr">
        <is>
          <t>DVU: Datastelsel Verduurzaming Utiliteit</t>
        </is>
      </c>
      <c r="C211" s="20" t="inlineStr">
        <is>
          <t>is onderdeel van</t>
        </is>
      </c>
      <c r="D211" s="20" t="inlineStr">
        <is>
          <t>DT-008</t>
        </is>
      </c>
      <c r="E211" s="20" t="inlineStr">
        <is>
          <t>DSGO: Digitaal Stelsel Gebouwde Omgeving</t>
        </is>
      </c>
      <c r="F211" s="20" t="inlineStr">
        <is>
          <t>DVU sluit aan op DSGO/iSHARE</t>
        </is>
      </c>
      <c r="G211" s="20" t="inlineStr">
        <is>
          <t>Rapport datagovernance 2026</t>
        </is>
      </c>
    </row>
    <row r="212" ht="28.35" customHeight="1" s="15">
      <c r="A212" s="20" t="inlineStr">
        <is>
          <t>DT-061</t>
        </is>
      </c>
      <c r="B212" s="20" t="inlineStr">
        <is>
          <t>Warmtebedrijf Rotterdam: realtime monitoring warmtedistributienet</t>
        </is>
      </c>
      <c r="C212" s="20" t="inlineStr">
        <is>
          <t>vergelijkbaar met</t>
        </is>
      </c>
      <c r="D212" s="20" t="inlineStr">
        <is>
          <t>DT-042</t>
        </is>
      </c>
      <c r="E212" s="20" t="inlineStr">
        <is>
          <t>Gradyent warmtenet-twins</t>
        </is>
      </c>
      <c r="F212" s="20" t="inlineStr">
        <is>
          <t>Warmtenet-twin (schaduw vs. tweeling)</t>
        </is>
      </c>
      <c r="G212" s="20" t="inlineStr">
        <is>
          <t>Rapport datagovernance 2026</t>
        </is>
      </c>
    </row>
    <row r="213" ht="28.35" customHeight="1" s="15">
      <c r="A213" s="20" t="inlineStr">
        <is>
          <t>DT-025</t>
        </is>
      </c>
      <c r="B213" s="20" t="inlineStr">
        <is>
          <t>ORKEST: actief capaciteitsbeheer en asset intelligence (MOOI)</t>
        </is>
      </c>
      <c r="C213" s="20" t="inlineStr">
        <is>
          <t>verwant aan</t>
        </is>
      </c>
      <c r="D213" s="20" t="inlineStr">
        <is>
          <t>DT-037</t>
        </is>
      </c>
      <c r="E213" s="20" t="inlineStr">
        <is>
          <t>Stedin: netmodellen en scenario's</t>
        </is>
      </c>
      <c r="F213" s="20" t="inlineStr">
        <is>
          <t>Beide Stedin</t>
        </is>
      </c>
      <c r="G213" s="20" t="inlineStr">
        <is>
          <t>Rapport datagovernance 2026</t>
        </is>
      </c>
    </row>
    <row r="214" ht="28.35" customHeight="1" s="15">
      <c r="A214" s="20" t="inlineStr">
        <is>
          <t>DT-114</t>
        </is>
      </c>
      <c r="B214" s="20" t="inlineStr">
        <is>
          <t>SAGE / Green Deal Data Space: use case 'CO2 Hub &amp; Building Twins'</t>
        </is>
      </c>
      <c r="C214" s="20" t="inlineStr">
        <is>
          <t>verwant aan</t>
        </is>
      </c>
      <c r="D214" s="20" t="inlineStr">
        <is>
          <t>DT-068</t>
        </is>
      </c>
      <c r="E214" s="20" t="inlineStr">
        <is>
          <t>Common European Energy Data Space</t>
        </is>
      </c>
      <c r="F214" s="20" t="inlineStr">
        <is>
          <t>Green Deal Data Space naast CEEDS</t>
        </is>
      </c>
      <c r="G214" s="20" t="inlineStr">
        <is>
          <t>Rapport datagovernance 2026</t>
        </is>
      </c>
    </row>
    <row r="215" ht="28.35" customHeight="1" s="15">
      <c r="A215" s="20" t="inlineStr">
        <is>
          <t>DT-022</t>
        </is>
      </c>
      <c r="B215" s="20" t="inlineStr">
        <is>
          <t>DEMOSES: simulaties van toekomstige energiesystemen</t>
        </is>
      </c>
      <c r="C215" s="20" t="inlineStr">
        <is>
          <t>kandidaat-bouwsteen voor</t>
        </is>
      </c>
      <c r="D215" s="20" t="inlineStr">
        <is>
          <t>DT-012</t>
        </is>
      </c>
      <c r="E215" s="20" t="inlineStr">
        <is>
          <t>Nationale Faciliteit Digital Twin Elektriciteitssysteem</t>
        </is>
      </c>
      <c r="F215" s="20" t="inlineStr">
        <is>
          <t>Systeemsimulaties voor de Nationale Faciliteit</t>
        </is>
      </c>
      <c r="G215" s="20" t="inlineStr">
        <is>
          <t>Rapport datagovernance 2026</t>
        </is>
      </c>
    </row>
    <row r="216" ht="41.75" customHeight="1" s="15">
      <c r="A216" s="20" t="inlineStr">
        <is>
          <t>DT-011</t>
        </is>
      </c>
      <c r="B216" s="20" t="inlineStr">
        <is>
          <t>DSSC Blueprint: bouwblokken voor data spaces (Data Spaces Support Centre)</t>
        </is>
      </c>
      <c r="C216" s="20" t="inlineStr">
        <is>
          <t>sluit aan op kader</t>
        </is>
      </c>
      <c r="D216" s="20" t="inlineStr">
        <is>
          <t>DSSC</t>
        </is>
      </c>
      <c r="E216" s="20" t="inlineStr">
        <is>
          <t>Data Spaces Support Centre Blueprint (technische en organisatorische bouwblokken voor data spaces)</t>
        </is>
      </c>
      <c r="F216" s="20" t="n"/>
      <c r="G216" s="20" t="n"/>
    </row>
    <row r="217" ht="41.75" customHeight="1" s="15">
      <c r="A217" s="20" t="inlineStr">
        <is>
          <t>DT-011</t>
        </is>
      </c>
      <c r="B217" s="20" t="inlineStr">
        <is>
          <t>DSSC Blueprint: bouwblokken voor data spaces (Data Spaces Support Centre)</t>
        </is>
      </c>
      <c r="C217" s="20" t="inlineStr">
        <is>
          <t>gebruikt bouwsteen</t>
        </is>
      </c>
      <c r="D217" s="20" t="inlineStr">
        <is>
          <t>BS-DSP</t>
        </is>
      </c>
      <c r="E217" s="20" t="inlineStr">
        <is>
          <t>Dataspace Protocol (Eclipse/IDSA)</t>
        </is>
      </c>
      <c r="F217" s="20" t="n"/>
      <c r="G217" s="20" t="n"/>
    </row>
    <row r="218" ht="41.75" customHeight="1" s="15">
      <c r="A218" s="20" t="inlineStr">
        <is>
          <t>DT-011</t>
        </is>
      </c>
      <c r="B218" s="20" t="inlineStr">
        <is>
          <t>DSSC Blueprint: bouwblokken voor data spaces (Data Spaces Support Centre)</t>
        </is>
      </c>
      <c r="C218" s="20" t="inlineStr">
        <is>
          <t>gebruikt bouwsteen</t>
        </is>
      </c>
      <c r="D218" s="20" t="inlineStr">
        <is>
          <t>BS-DCP</t>
        </is>
      </c>
      <c r="E218" s="20" t="inlineStr">
        <is>
          <t>Decentralised Claims Protocol</t>
        </is>
      </c>
      <c r="F218" s="20" t="n"/>
      <c r="G218" s="20" t="n"/>
    </row>
    <row r="219" ht="41.75" customHeight="1" s="15">
      <c r="A219" s="20" t="inlineStr">
        <is>
          <t>DT-011</t>
        </is>
      </c>
      <c r="B219" s="20" t="inlineStr">
        <is>
          <t>DSSC Blueprint: bouwblokken voor data spaces (Data Spaces Support Centre)</t>
        </is>
      </c>
      <c r="C219" s="20" t="inlineStr">
        <is>
          <t>gebruikt bouwsteen</t>
        </is>
      </c>
      <c r="D219" s="20" t="inlineStr">
        <is>
          <t>BS-EDC</t>
        </is>
      </c>
      <c r="E219" s="20" t="inlineStr">
        <is>
          <t>Eclipse Dataspace Components (EDC)</t>
        </is>
      </c>
      <c r="F219" s="20" t="n"/>
      <c r="G219" s="20" t="n"/>
    </row>
    <row r="220" ht="41.75" customHeight="1" s="15">
      <c r="A220" s="20" t="inlineStr">
        <is>
          <t>DT-011</t>
        </is>
      </c>
      <c r="B220" s="20" t="inlineStr">
        <is>
          <t>DSSC Blueprint: bouwblokken voor data spaces (Data Spaces Support Centre)</t>
        </is>
      </c>
      <c r="C220" s="20" t="inlineStr">
        <is>
          <t>gebruikt bouwsteen</t>
        </is>
      </c>
      <c r="D220" s="20" t="inlineStr">
        <is>
          <t>BS-DCAT</t>
        </is>
      </c>
      <c r="E220" s="20" t="inlineStr">
        <is>
          <t>DCAT-AP met ODRL</t>
        </is>
      </c>
      <c r="F220" s="20" t="n"/>
      <c r="G220" s="20" t="n"/>
    </row>
    <row r="221" ht="41.75" customHeight="1" s="15">
      <c r="A221" s="20" t="inlineStr">
        <is>
          <t>DT-062</t>
        </is>
      </c>
      <c r="B221" s="20" t="inlineStr">
        <is>
          <t>Starlings: virtuele uitwisseling van energie en utilities in het havencluster Rotterdam</t>
        </is>
      </c>
      <c r="C221" s="20" t="inlineStr">
        <is>
          <t>sluit aan op kader</t>
        </is>
      </c>
      <c r="D221" s="20" t="inlineStr">
        <is>
          <t>ADE</t>
        </is>
      </c>
      <c r="E221" s="20" t="inlineStr">
        <is>
          <t>Actieagenda Digitalisering Energiesysteem</t>
        </is>
      </c>
      <c r="F221" s="20" t="n"/>
      <c r="G221" s="20" t="n"/>
    </row>
    <row r="222" ht="41.75" customHeight="1" s="15">
      <c r="A222" s="20" t="inlineStr">
        <is>
          <t>DT-082</t>
        </is>
      </c>
      <c r="B222" s="20" t="inlineStr">
        <is>
          <t>TenneT Digital Spine: realtime uitwisseling van operationele data tussen netgebruikers en TSO (concept)</t>
        </is>
      </c>
      <c r="C222" s="20" t="inlineStr">
        <is>
          <t>sluit aan op kader</t>
        </is>
      </c>
      <c r="D222" s="20" t="inlineStr">
        <is>
          <t>ADE</t>
        </is>
      </c>
      <c r="E222" s="20" t="inlineStr">
        <is>
          <t>Actieagenda Digitalisering Energiesysteem</t>
        </is>
      </c>
      <c r="F222" s="20" t="n"/>
      <c r="G222" s="20" t="n"/>
    </row>
    <row r="223" ht="28.35" customHeight="1" s="15">
      <c r="A223" s="20" t="inlineStr">
        <is>
          <t>DT-083</t>
        </is>
      </c>
      <c r="B223" s="20" t="inlineStr">
        <is>
          <t>Keuzehulp en overzicht energietransitierekenmodellen (werkgroep ETRM, Netbeheer Nederland)</t>
        </is>
      </c>
      <c r="C223" s="20" t="inlineStr">
        <is>
          <t>gebruikt bouwsteen</t>
        </is>
      </c>
      <c r="D223" s="20" t="inlineStr">
        <is>
          <t>BS-ETM</t>
        </is>
      </c>
      <c r="E223" s="20" t="inlineStr">
        <is>
          <t>Energy Transition Model</t>
        </is>
      </c>
      <c r="F223" s="20" t="n"/>
      <c r="G223" s="20" t="n"/>
    </row>
    <row r="224" ht="28.35" customHeight="1" s="15">
      <c r="A224" s="20" t="inlineStr">
        <is>
          <t>DT-083</t>
        </is>
      </c>
      <c r="B224" s="20" t="inlineStr">
        <is>
          <t>Keuzehulp en overzicht energietransitierekenmodellen (werkgroep ETRM, Netbeheer Nederland)</t>
        </is>
      </c>
      <c r="C224" s="20" t="inlineStr">
        <is>
          <t>gebruikt bouwsteen</t>
        </is>
      </c>
      <c r="D224" s="20" t="inlineStr">
        <is>
          <t>BS-ESDL</t>
        </is>
      </c>
      <c r="E224" s="20" t="inlineStr">
        <is>
          <t>ESDL (+ MapEditor, ESSIM)</t>
        </is>
      </c>
      <c r="F224" s="20" t="n"/>
      <c r="G224" s="20" t="n"/>
    </row>
    <row r="225" ht="28.35" customHeight="1" s="15">
      <c r="A225" s="20" t="inlineStr">
        <is>
          <t>DT-084</t>
        </is>
      </c>
      <c r="B225" s="20" t="inlineStr">
        <is>
          <t>Federatief Datastelsel (FDS)</t>
        </is>
      </c>
      <c r="C225" s="20" t="inlineStr">
        <is>
          <t>sluit aan op kader</t>
        </is>
      </c>
      <c r="D225" s="20" t="inlineStr">
        <is>
          <t>DSSC</t>
        </is>
      </c>
      <c r="E225" s="20" t="inlineStr">
        <is>
          <t>Data Spaces Support Centre Blueprint (technische en organisatorische bouwblokken voor data spaces)</t>
        </is>
      </c>
      <c r="F225" s="20" t="n"/>
      <c r="G225" s="20" t="n"/>
    </row>
    <row r="226" ht="28.35" customHeight="1" s="15">
      <c r="A226" s="20" t="inlineStr">
        <is>
          <t>DT-084</t>
        </is>
      </c>
      <c r="B226" s="20" t="inlineStr">
        <is>
          <t>Federatief Datastelsel (FDS)</t>
        </is>
      </c>
      <c r="C226" s="20" t="inlineStr">
        <is>
          <t>gebruikt bouwsteen</t>
        </is>
      </c>
      <c r="D226" s="20" t="inlineStr">
        <is>
          <t>BS-FSC</t>
        </is>
      </c>
      <c r="E226" s="20" t="inlineStr">
        <is>
          <t>FSC: Federatieve Service Connectiviteit</t>
        </is>
      </c>
      <c r="F226" s="20" t="n"/>
      <c r="G226" s="20" t="n"/>
    </row>
    <row r="227" ht="28.35" customHeight="1" s="15">
      <c r="A227" s="20" t="inlineStr">
        <is>
          <t>DT-084</t>
        </is>
      </c>
      <c r="B227" s="20" t="inlineStr">
        <is>
          <t>Federatief Datastelsel (FDS)</t>
        </is>
      </c>
      <c r="C227" s="20" t="inlineStr">
        <is>
          <t>gebruikt bouwsteen</t>
        </is>
      </c>
      <c r="D227" s="20" t="inlineStr">
        <is>
          <t>BS-DCAT</t>
        </is>
      </c>
      <c r="E227" s="20" t="inlineStr">
        <is>
          <t>DCAT-AP met ODRL</t>
        </is>
      </c>
      <c r="F227" s="20" t="n"/>
      <c r="G227" s="20" t="n"/>
    </row>
    <row r="228" ht="41.75" customHeight="1" s="15">
      <c r="A228" s="20" t="inlineStr">
        <is>
          <t>DT-085</t>
        </is>
      </c>
      <c r="B228" s="20" t="inlineStr">
        <is>
          <t>Digitaal Stelsel Omgevingswet (DSO)</t>
        </is>
      </c>
      <c r="C228" s="20" t="inlineStr">
        <is>
          <t>sluit aan op kader</t>
        </is>
      </c>
      <c r="D228" s="20" t="inlineStr">
        <is>
          <t>DSSC</t>
        </is>
      </c>
      <c r="E228" s="20" t="inlineStr">
        <is>
          <t>Data Spaces Support Centre Blueprint (technische en organisatorische bouwblokken voor data spaces)</t>
        </is>
      </c>
      <c r="F228" s="20" t="n"/>
      <c r="G228" s="20" t="n"/>
    </row>
    <row r="229" ht="41.75" customHeight="1" s="15">
      <c r="A229" s="20" t="inlineStr">
        <is>
          <t>DT-085</t>
        </is>
      </c>
      <c r="B229" s="20" t="inlineStr">
        <is>
          <t>Digitaal Stelsel Omgevingswet (DSO)</t>
        </is>
      </c>
      <c r="C229" s="20" t="inlineStr">
        <is>
          <t>gebruikt bouwsteen</t>
        </is>
      </c>
      <c r="D229" s="20" t="inlineStr">
        <is>
          <t>BS-MIM</t>
        </is>
      </c>
      <c r="E229" s="20" t="inlineStr">
        <is>
          <t>MIM en NEN 3610</t>
        </is>
      </c>
      <c r="F229" s="20" t="n"/>
      <c r="G229" s="20" t="n"/>
    </row>
    <row r="230" ht="41.75" customHeight="1" s="15">
      <c r="A230" s="20" t="inlineStr">
        <is>
          <t>DT-096</t>
        </is>
      </c>
      <c r="B230" s="20" t="inlineStr">
        <is>
          <t>Inventarisatie Architectuur Data Ecosystemen t.b.v. CDO IenW (Geonovum)</t>
        </is>
      </c>
      <c r="C230" s="20" t="inlineStr">
        <is>
          <t>sluit aan op kader</t>
        </is>
      </c>
      <c r="D230" s="20" t="inlineStr">
        <is>
          <t>DSSC</t>
        </is>
      </c>
      <c r="E230" s="20" t="inlineStr">
        <is>
          <t>Data Spaces Support Centre Blueprint (technische en organisatorische bouwblokken voor data spaces)</t>
        </is>
      </c>
      <c r="F230" s="20" t="n"/>
      <c r="G230" s="20" t="n"/>
    </row>
    <row r="231" ht="41.75" customHeight="1" s="15">
      <c r="A231" s="20" t="inlineStr">
        <is>
          <t>DT-096</t>
        </is>
      </c>
      <c r="B231" s="20" t="inlineStr">
        <is>
          <t>Inventarisatie Architectuur Data Ecosystemen t.b.v. CDO IenW (Geonovum)</t>
        </is>
      </c>
      <c r="C231" s="20" t="inlineStr">
        <is>
          <t>sluit aan op kader</t>
        </is>
      </c>
      <c r="D231" s="20" t="inlineStr">
        <is>
          <t>NLDT</t>
        </is>
      </c>
      <c r="E231" s="20" t="inlineStr">
        <is>
          <t>Programma Digitale Tweeling / NLDT-architectuur (nLDT)</t>
        </is>
      </c>
      <c r="F231" s="20" t="n"/>
      <c r="G231" s="20" t="n"/>
    </row>
    <row r="232" ht="15" customHeight="1" s="15">
      <c r="A232" s="20" t="inlineStr">
        <is>
          <t>DT-096</t>
        </is>
      </c>
      <c r="B232" s="20" t="inlineStr">
        <is>
          <t>Inventarisatie Architectuur Data Ecosystemen t.b.v. CDO IenW (Geonovum)</t>
        </is>
      </c>
      <c r="C232" s="20" t="inlineStr">
        <is>
          <t>sluit aan op kader</t>
        </is>
      </c>
      <c r="D232" s="20" t="inlineStr">
        <is>
          <t>DSGO</t>
        </is>
      </c>
      <c r="E232" s="20" t="inlineStr">
        <is>
          <t>Digitaal Stelsel Gebouwde Omgeving</t>
        </is>
      </c>
      <c r="F232" s="20" t="n"/>
      <c r="G232" s="20" t="n"/>
    </row>
    <row r="233" ht="15" customHeight="1" s="15">
      <c r="A233" s="20" t="inlineStr">
        <is>
          <t>DT-096</t>
        </is>
      </c>
      <c r="B233" s="20" t="inlineStr">
        <is>
          <t>Inventarisatie Architectuur Data Ecosystemen t.b.v. CDO IenW (Geonovum)</t>
        </is>
      </c>
      <c r="C233" s="20" t="inlineStr">
        <is>
          <t>gebruikt bouwsteen</t>
        </is>
      </c>
      <c r="D233" s="20" t="inlineStr">
        <is>
          <t>BS-DSP</t>
        </is>
      </c>
      <c r="E233" s="20" t="inlineStr">
        <is>
          <t>Dataspace Protocol (Eclipse/IDSA)</t>
        </is>
      </c>
      <c r="F233" s="20" t="n"/>
      <c r="G233" s="20" t="n"/>
    </row>
    <row r="234" ht="41.75" customHeight="1" s="15">
      <c r="A234" s="20" t="inlineStr">
        <is>
          <t>DT-096</t>
        </is>
      </c>
      <c r="B234" s="20" t="inlineStr">
        <is>
          <t>Inventarisatie Architectuur Data Ecosystemen t.b.v. CDO IenW (Geonovum)</t>
        </is>
      </c>
      <c r="C234" s="20" t="inlineStr">
        <is>
          <t>gebruikt bouwsteen</t>
        </is>
      </c>
      <c r="D234" s="20" t="inlineStr">
        <is>
          <t>BS-FSC</t>
        </is>
      </c>
      <c r="E234" s="20" t="inlineStr">
        <is>
          <t>FSC: Federatieve Service Connectiviteit</t>
        </is>
      </c>
      <c r="F234" s="20" t="n"/>
      <c r="G234" s="20" t="n"/>
    </row>
    <row r="235" ht="15" customHeight="1" s="15">
      <c r="A235" s="20" t="inlineStr">
        <is>
          <t>DT-096</t>
        </is>
      </c>
      <c r="B235" s="20" t="inlineStr">
        <is>
          <t>Inventarisatie Architectuur Data Ecosystemen t.b.v. CDO IenW (Geonovum)</t>
        </is>
      </c>
      <c r="C235" s="20" t="inlineStr">
        <is>
          <t>gebruikt bouwsteen</t>
        </is>
      </c>
      <c r="D235" s="20" t="inlineStr">
        <is>
          <t>BS-ISHARE</t>
        </is>
      </c>
      <c r="E235" s="20" t="inlineStr">
        <is>
          <t>iSHARE</t>
        </is>
      </c>
      <c r="F235" s="20" t="n"/>
      <c r="G235" s="20" t="n"/>
    </row>
    <row r="236" ht="41.75" customHeight="1" s="15">
      <c r="A236" s="20" t="inlineStr">
        <is>
          <t>DT-096</t>
        </is>
      </c>
      <c r="B236" s="20" t="inlineStr">
        <is>
          <t>Inventarisatie Architectuur Data Ecosystemen t.b.v. CDO IenW (Geonovum)</t>
        </is>
      </c>
      <c r="C236" s="20" t="inlineStr">
        <is>
          <t>gebruikt bouwsteen</t>
        </is>
      </c>
      <c r="D236" s="20" t="inlineStr">
        <is>
          <t>BS-DCAT</t>
        </is>
      </c>
      <c r="E236" s="20" t="inlineStr">
        <is>
          <t>DCAT-AP met ODRL</t>
        </is>
      </c>
      <c r="F236" s="20" t="n"/>
      <c r="G236" s="20" t="n"/>
    </row>
    <row r="237" ht="28.35" customHeight="1" s="15">
      <c r="A237" s="20" t="inlineStr">
        <is>
          <t>DT-096</t>
        </is>
      </c>
      <c r="B237" s="20" t="inlineStr">
        <is>
          <t>Inventarisatie Architectuur Data Ecosystemen t.b.v. CDO IenW (Geonovum)</t>
        </is>
      </c>
      <c r="C237" s="20" t="inlineStr">
        <is>
          <t>gebruikt bouwsteen</t>
        </is>
      </c>
      <c r="D237" s="20" t="inlineStr">
        <is>
          <t>BS-MIM</t>
        </is>
      </c>
      <c r="E237" s="20" t="inlineStr">
        <is>
          <t>MIM en NEN 3610</t>
        </is>
      </c>
      <c r="F237" s="20" t="n"/>
      <c r="G237" s="20" t="n"/>
    </row>
    <row r="238" ht="28.35" customHeight="1" s="15">
      <c r="A238" s="20" t="inlineStr">
        <is>
          <t>DT-013</t>
        </is>
      </c>
      <c r="B238" s="20" t="inlineStr">
        <is>
          <t>KIC 'Unlocking Digital Twin Capabilities for Electricity Utilities'</t>
        </is>
      </c>
      <c r="C238" s="20" t="inlineStr">
        <is>
          <t>levert aan</t>
        </is>
      </c>
      <c r="D238" s="20" t="inlineStr">
        <is>
          <t>DT-012</t>
        </is>
      </c>
      <c r="E238" s="20" t="inlineStr">
        <is>
          <t>Nationale Faciliteit Digital Twin Elektriciteitssysteem</t>
        </is>
      </c>
      <c r="F238" s="20" t="inlineStr">
        <is>
          <t>Call: onderzoeksresultaten naar verwachting gebruikt in de Nationale Faciliteit</t>
        </is>
      </c>
      <c r="G238" s="20" t="inlineStr">
        <is>
          <t>Call-for-Proposals-NWO-TenneT-TSE-NL_0.pdf</t>
        </is>
      </c>
    </row>
    <row r="239" ht="28.35" customHeight="1" s="15">
      <c r="A239" s="20" t="inlineStr">
        <is>
          <t>DT-027</t>
        </is>
      </c>
      <c r="B239" s="20" t="inlineStr">
        <is>
          <t>UTOPYS: academische real-time EMT-simulator voor nationale elektriciteitssystemen (NWO LSRI)</t>
        </is>
      </c>
      <c r="C239" s="20" t="inlineStr">
        <is>
          <t>verwant aan</t>
        </is>
      </c>
      <c r="D239" s="20" t="inlineStr">
        <is>
          <t>DT-012</t>
        </is>
      </c>
      <c r="E239" s="20" t="inlineStr">
        <is>
          <t>Nationale Faciliteit Digital Twin Elektriciteitssysteem</t>
        </is>
      </c>
      <c r="F239" s="20" t="inlineStr">
        <is>
          <t>Beide nationale systeemtwin elektriciteit; formele relatie niet vastgesteld</t>
        </is>
      </c>
      <c r="G239" s="20" t="inlineStr">
        <is>
          <t>https://www.cwi.nl/en/news/major-nwo-grant-to-build-worlds-largest-digital-twin-for-energy-system-studies/</t>
        </is>
      </c>
    </row>
    <row r="240" ht="28.35" customHeight="1" s="15">
      <c r="A240" s="20" t="inlineStr">
        <is>
          <t>DT-027</t>
        </is>
      </c>
      <c r="B240" s="20" t="inlineStr">
        <is>
          <t>UTOPYS: academische real-time EMT-simulator voor nationale elektriciteitssystemen (NWO LSRI)</t>
        </is>
      </c>
      <c r="C240" s="20" t="inlineStr">
        <is>
          <t>vergelijkbaar met</t>
        </is>
      </c>
      <c r="D240" s="20" t="inlineStr">
        <is>
          <t>DT-121</t>
        </is>
      </c>
      <c r="E240" s="20" t="inlineStr">
        <is>
          <t>ENET-RTLab: nationaal real-time lab, twin van het Italiaanse elektriciteitssysteem</t>
        </is>
      </c>
      <c r="F240" s="20" t="inlineStr">
        <is>
          <t>Real-time lab/simulator van een nationaal elektriciteitssysteem</t>
        </is>
      </c>
      <c r="G240" s="20" t="n"/>
    </row>
    <row r="241" ht="28.35" customHeight="1" s="15">
      <c r="A241" s="20" t="inlineStr">
        <is>
          <t>DT-010</t>
        </is>
      </c>
      <c r="B241" s="20" t="inlineStr">
        <is>
          <t>Datastrategie digital twins voor een toekomstig energiesysteem (RVO/Topsector Energie, 2026)</t>
        </is>
      </c>
      <c r="C241" s="20" t="inlineStr">
        <is>
          <t>levert aanpak voor</t>
        </is>
      </c>
      <c r="D241" s="20" t="inlineStr">
        <is>
          <t>DT-028</t>
        </is>
      </c>
      <c r="E241" s="20" t="inlineStr">
        <is>
          <t>ORTESE Emmen: digital twin/shadow lokaal energiesysteem (incl. PRIME)</t>
        </is>
      </c>
      <c r="F241" s="20" t="inlineStr">
        <is>
          <t>Datastrategie voor de digitale tweeling van ORTESE (projectpagina Witteveen+Bos)</t>
        </is>
      </c>
      <c r="G241" s="20" t="inlineStr">
        <is>
          <t>https://www.witteveenbos.com/projects/emmen-and-ortese</t>
        </is>
      </c>
    </row>
    <row r="242" ht="28.35" customHeight="1" s="15">
      <c r="A242" s="20" t="inlineStr">
        <is>
          <t>DT-062</t>
        </is>
      </c>
      <c r="B242" s="20" t="inlineStr">
        <is>
          <t>Starlings: virtuele uitwisseling van energie en utilities in het havencluster Rotterdam</t>
        </is>
      </c>
      <c r="C242" s="20" t="inlineStr">
        <is>
          <t>vergelijkbaar met</t>
        </is>
      </c>
      <c r="D242" s="20" t="inlineStr">
        <is>
          <t>DT-029</t>
        </is>
      </c>
      <c r="E242" s="20" t="inlineStr">
        <is>
          <t>Port of Rotterdam: Virtual Energy System (VES)</t>
        </is>
      </c>
      <c r="F242" s="20" t="inlineStr">
        <is>
          <t>Beide Havenbedrijf Rotterdam; clusterniveau, mogelijk complementair</t>
        </is>
      </c>
      <c r="G242" s="20" t="inlineStr">
        <is>
          <t>Actieagenda Digitalisering Energiesysteem</t>
        </is>
      </c>
    </row>
    <row r="243" ht="28.35" customHeight="1" s="15">
      <c r="A243" s="20" t="inlineStr">
        <is>
          <t>DT-082</t>
        </is>
      </c>
      <c r="B243" s="20" t="inlineStr">
        <is>
          <t>TenneT Digital Spine: realtime uitwisseling van operationele data tussen netgebruikers en TSO (concept)</t>
        </is>
      </c>
      <c r="C243" s="20" t="inlineStr">
        <is>
          <t>kandidaat-bouwsteen voor</t>
        </is>
      </c>
      <c r="D243" s="20" t="inlineStr">
        <is>
          <t>DT-012</t>
        </is>
      </c>
      <c r="E243" s="20" t="inlineStr">
        <is>
          <t>Nationale Faciliteit Digital Twin Elektriciteitssysteem</t>
        </is>
      </c>
      <c r="F243" s="20" t="inlineStr">
        <is>
          <t>Mogelijke datalaag voor de nationale systeemtwin</t>
        </is>
      </c>
      <c r="G243" s="20" t="inlineStr">
        <is>
          <t>Actieagenda Digitalisering Energiesysteem, actie 1.2.1</t>
        </is>
      </c>
    </row>
    <row r="244" ht="28.35" customHeight="1" s="15">
      <c r="A244" s="20" t="inlineStr">
        <is>
          <t>DT-082</t>
        </is>
      </c>
      <c r="B244" s="20" t="inlineStr">
        <is>
          <t>TenneT Digital Spine: realtime uitwisseling van operationele data tussen netgebruikers en TSO (concept)</t>
        </is>
      </c>
      <c r="C244" s="20" t="inlineStr">
        <is>
          <t>vergelijkbaar met</t>
        </is>
      </c>
      <c r="D244" s="20" t="inlineStr">
        <is>
          <t>DT-130</t>
        </is>
      </c>
      <c r="E244" s="20" t="inlineStr">
        <is>
          <t>NESO Virtual Energy System (VK)</t>
        </is>
      </c>
      <c r="F244" s="20" t="inlineStr">
        <is>
          <t>Zelfde term als NESO-voorstudie Data Sharing Infrastructure</t>
        </is>
      </c>
      <c r="G244" s="20" t="n"/>
    </row>
    <row r="245" ht="28.35" customHeight="1" s="15">
      <c r="A245" s="20" t="inlineStr">
        <is>
          <t>DT-096</t>
        </is>
      </c>
      <c r="B245" s="20" t="inlineStr">
        <is>
          <t>Inventarisatie Architectuur Data Ecosystemen t.b.v. CDO IenW (Geonovum)</t>
        </is>
      </c>
      <c r="C245" s="20" t="inlineStr">
        <is>
          <t>gebruikt kader</t>
        </is>
      </c>
      <c r="D245" s="20" t="inlineStr">
        <is>
          <t>DT-011</t>
        </is>
      </c>
      <c r="E245" s="20" t="inlineStr">
        <is>
          <t>DSSC Blueprint: bouwblokken voor data spaces (Data Spaces Support Centre)</t>
        </is>
      </c>
      <c r="F245" s="20" t="inlineStr">
        <is>
          <t>Inventarisatie langs DSSC-bouwblokken</t>
        </is>
      </c>
      <c r="G245" s="20" t="inlineStr">
        <is>
          <t>Eindrapport Inventarisatie Architectuur Data Ecosystemen tbv CDO IenW</t>
        </is>
      </c>
    </row>
    <row r="246" ht="41.75" customHeight="1" s="15">
      <c r="A246" s="20" t="inlineStr">
        <is>
          <t>DT-084</t>
        </is>
      </c>
      <c r="B246" s="20" t="inlineStr">
        <is>
          <t>Federatief Datastelsel (FDS)</t>
        </is>
      </c>
      <c r="C246" s="20" t="inlineStr">
        <is>
          <t>is onderdeel van</t>
        </is>
      </c>
      <c r="D246" s="20" t="inlineStr">
        <is>
          <t>DT-096</t>
        </is>
      </c>
      <c r="E246" s="20" t="inlineStr">
        <is>
          <t>Inventarisatie Architectuur Data Ecosystemen t.b.v. CDO IenW (Geonovum)</t>
        </is>
      </c>
      <c r="F246" s="20" t="inlineStr">
        <is>
          <t>Een van de tien geïnventariseerde data-ecosystemen</t>
        </is>
      </c>
      <c r="G246" s="20" t="n"/>
    </row>
    <row r="247" ht="28.35" customHeight="1" s="15">
      <c r="A247" s="20" t="inlineStr">
        <is>
          <t>DT-085</t>
        </is>
      </c>
      <c r="B247" s="20" t="inlineStr">
        <is>
          <t>Digitaal Stelsel Omgevingswet (DSO)</t>
        </is>
      </c>
      <c r="C247" s="20" t="inlineStr">
        <is>
          <t>is onderdeel van</t>
        </is>
      </c>
      <c r="D247" s="20" t="inlineStr">
        <is>
          <t>DT-096</t>
        </is>
      </c>
      <c r="E247" s="20" t="inlineStr">
        <is>
          <t>Inventarisatie Architectuur Data Ecosystemen t.b.v. CDO IenW (Geonovum)</t>
        </is>
      </c>
      <c r="F247" s="20" t="inlineStr">
        <is>
          <t>Een van de tien geïnventariseerde data-ecosystemen</t>
        </is>
      </c>
      <c r="G247" s="20" t="n"/>
    </row>
    <row r="248" ht="41.75" customHeight="1" s="15">
      <c r="A248" s="20" t="inlineStr">
        <is>
          <t>DT-008</t>
        </is>
      </c>
      <c r="B248" s="20" t="inlineStr">
        <is>
          <t>DSGO: Digitaal Stelsel Gebouwde Omgeving</t>
        </is>
      </c>
      <c r="C248" s="20" t="inlineStr">
        <is>
          <t>is onderdeel van</t>
        </is>
      </c>
      <c r="D248" s="20" t="inlineStr">
        <is>
          <t>DT-096</t>
        </is>
      </c>
      <c r="E248" s="20" t="inlineStr">
        <is>
          <t>Inventarisatie Architectuur Data Ecosystemen t.b.v. CDO IenW (Geonovum)</t>
        </is>
      </c>
      <c r="F248" s="20" t="inlineStr">
        <is>
          <t>DSGO is een van de tien geïnventariseerde data-ecosystemen</t>
        </is>
      </c>
      <c r="G248" s="20" t="n"/>
    </row>
    <row r="249" ht="41.75" customHeight="1" s="15">
      <c r="A249" s="20" t="inlineStr">
        <is>
          <t>DT-097</t>
        </is>
      </c>
      <c r="B249" s="20" t="inlineStr">
        <is>
          <t>Programma Innovatie en Opschaling Woningbouw: blauwdruk datagedreven gebiedsontwikkeling (minimaal 10 gemeenten)</t>
        </is>
      </c>
      <c r="C249" s="20" t="inlineStr">
        <is>
          <t>verwijst naar</t>
        </is>
      </c>
      <c r="D249" s="20" t="inlineStr">
        <is>
          <t>DT-092</t>
        </is>
      </c>
      <c r="E249" s="20" t="inlineStr">
        <is>
          <t>Dutch Digital Twin AppStore (DDTAS)</t>
        </is>
      </c>
      <c r="F249" s="20" t="inlineStr">
        <is>
          <t>DDTAS-verkenning noemt pilots datagedreven gebiedsontwikkeling</t>
        </is>
      </c>
      <c r="G249" s="20" t="inlineStr">
        <is>
          <t>De digitale tweeling in de kern van de dagelijkse operatie en beleid, v0.8</t>
        </is>
      </c>
    </row>
    <row r="250" ht="41.75" customHeight="1" s="15">
      <c r="A250" s="20" t="inlineStr">
        <is>
          <t>DT-083</t>
        </is>
      </c>
      <c r="B250" s="20" t="inlineStr">
        <is>
          <t>Keuzehulp en overzicht energietransitierekenmodellen (werkgroep ETRM, Netbeheer Nederland)</t>
        </is>
      </c>
      <c r="C250" s="20" t="inlineStr">
        <is>
          <t>levert aanpak voor</t>
        </is>
      </c>
      <c r="D250" s="20" t="inlineStr">
        <is>
          <t>DT-018</t>
        </is>
      </c>
      <c r="E250" s="20" t="inlineStr">
        <is>
          <t>Fieldlabs nDTFL (Flevoland/Almere, Utrecht/Amersfoort, RWS, Nijmegen, Zuid-Holland, Breda/Den Bosch)</t>
        </is>
      </c>
      <c r="F250" s="20" t="inlineStr">
        <is>
          <t>Keuzehulp energiemodellen als modelbron in nDTFL</t>
        </is>
      </c>
      <c r="G250" s="20" t="inlineStr">
        <is>
          <t>Presentatie investeringsvoorstel nDTFL</t>
        </is>
      </c>
    </row>
    <row r="251" ht="41.75" customHeight="1" s="15">
      <c r="A251" s="20" t="inlineStr">
        <is>
          <t>DT-096</t>
        </is>
      </c>
      <c r="B251" s="20" t="inlineStr">
        <is>
          <t>Inventarisatie Architectuur Data Ecosystemen t.b.v. CDO IenW (Geonovum)</t>
        </is>
      </c>
      <c r="C251" s="20" t="inlineStr">
        <is>
          <t>beschrijft</t>
        </is>
      </c>
      <c r="D251" s="20" t="inlineStr">
        <is>
          <t>DT-091</t>
        </is>
      </c>
      <c r="E251" s="20" t="inlineStr">
        <is>
          <t>DMI-ecosysteem (Dutch Metropolitan Innovations)</t>
        </is>
      </c>
      <c r="F251" s="20" t="inlineStr">
        <is>
          <t>Data-ecosysteem DMI in de CDO-inventarisatie</t>
        </is>
      </c>
      <c r="G251" s="20" t="inlineStr">
        <is>
          <t>Verwerking bronnen 21-10-2026</t>
        </is>
      </c>
    </row>
    <row r="252" ht="28.35" customHeight="1" s="15">
      <c r="A252" s="20" t="inlineStr">
        <is>
          <t>DT-096</t>
        </is>
      </c>
      <c r="B252" s="20" t="inlineStr">
        <is>
          <t>Inventarisatie Architectuur Data Ecosystemen t.b.v. CDO IenW (Geonovum)</t>
        </is>
      </c>
      <c r="C252" s="20" t="inlineStr">
        <is>
          <t>beschrijft</t>
        </is>
      </c>
      <c r="D252" s="20" t="inlineStr">
        <is>
          <t>DT-008</t>
        </is>
      </c>
      <c r="E252" s="20" t="inlineStr">
        <is>
          <t>DSGO: Digitaal Stelsel Gebouwde Omgeving</t>
        </is>
      </c>
      <c r="F252" s="20" t="inlineStr">
        <is>
          <t>Data-ecosysteem DSGO in de CDO-inventarisatie</t>
        </is>
      </c>
      <c r="G252" s="20" t="inlineStr">
        <is>
          <t>Verwerking bronnen 21-10-2026</t>
        </is>
      </c>
    </row>
    <row r="253" ht="41.75" customHeight="1" s="15">
      <c r="A253" s="20" t="inlineStr">
        <is>
          <t>DT-096</t>
        </is>
      </c>
      <c r="B253" s="20" t="inlineStr">
        <is>
          <t>Inventarisatie Architectuur Data Ecosystemen t.b.v. CDO IenW (Geonovum)</t>
        </is>
      </c>
      <c r="C253" s="20" t="inlineStr">
        <is>
          <t>beschrijft</t>
        </is>
      </c>
      <c r="D253" s="20" t="inlineStr">
        <is>
          <t>DT-089</t>
        </is>
      </c>
      <c r="E253" s="20" t="inlineStr">
        <is>
          <t>NLDT-community / Zicht op Nederland</t>
        </is>
      </c>
      <c r="F253" s="20" t="inlineStr">
        <is>
          <t>NGII / Zicht op Nederland in de CDO-inventarisatie</t>
        </is>
      </c>
      <c r="G253" s="20" t="inlineStr">
        <is>
          <t>Verwerking bronnen 21-10-2026</t>
        </is>
      </c>
    </row>
    <row r="254" ht="41.75" customHeight="1" s="15">
      <c r="A254" s="20" t="inlineStr">
        <is>
          <t>DT-097</t>
        </is>
      </c>
      <c r="B254" s="20" t="inlineStr">
        <is>
          <t>Programma Innovatie en Opschaling Woningbouw: blauwdruk datagedreven gebiedsontwikkeling (minimaal 10 gemeenten)</t>
        </is>
      </c>
      <c r="C254" s="20" t="inlineStr">
        <is>
          <t>vergelijkbaar met</t>
        </is>
      </c>
      <c r="D254" s="20" t="inlineStr">
        <is>
          <t>DT-049</t>
        </is>
      </c>
      <c r="E254" s="20" t="inlineStr">
        <is>
          <t>Use case Flevoland / Almere (DMI)</t>
        </is>
      </c>
      <c r="F254" s="20" t="inlineStr">
        <is>
          <t>Datagedreven gebiedsontwikkeling in de woningbouwopgave</t>
        </is>
      </c>
      <c r="G254" s="20" t="inlineStr">
        <is>
          <t>Verwerking bronnen 21-10-2026</t>
        </is>
      </c>
    </row>
    <row r="255" ht="28.35" customHeight="1" s="15">
      <c r="A255" s="20" t="inlineStr">
        <is>
          <t>DT-097</t>
        </is>
      </c>
      <c r="B255" s="20" t="inlineStr">
        <is>
          <t>Programma Innovatie en Opschaling Woningbouw: blauwdruk datagedreven gebiedsontwikkeling (minimaal 10 gemeenten)</t>
        </is>
      </c>
      <c r="C255" s="20" t="inlineStr">
        <is>
          <t>aanvulling op</t>
        </is>
      </c>
      <c r="D255" s="20" t="inlineStr">
        <is>
          <t>DT-090</t>
        </is>
      </c>
      <c r="E255" s="20" t="inlineStr">
        <is>
          <t>Nationaal Expertisecentrum Woningbouw: digital twinning in de woningbouwopgave</t>
        </is>
      </c>
      <c r="F255" s="20" t="inlineStr">
        <is>
          <t>Blauwdruk voor gemeenten naast positionering door NEW</t>
        </is>
      </c>
      <c r="G255" s="20" t="inlineStr">
        <is>
          <t>Verwerking bronnen 21-10-2026</t>
        </is>
      </c>
    </row>
    <row r="256" ht="28.35" customHeight="1" s="15">
      <c r="A256" s="20" t="inlineStr">
        <is>
          <t>DT-092</t>
        </is>
      </c>
      <c r="B256" s="20" t="inlineStr">
        <is>
          <t>Dutch Digital Twin AppStore (DDTAS)</t>
        </is>
      </c>
      <c r="C256" s="20" t="inlineStr">
        <is>
          <t>bouwt voort op</t>
        </is>
      </c>
      <c r="D256" s="20" t="inlineStr">
        <is>
          <t>DT-006</t>
        </is>
      </c>
      <c r="E256" s="20" t="inlineStr">
        <is>
          <t>Programma Digitale Tweeling / NLDT-architectuur</t>
        </is>
      </c>
      <c r="F256" s="20" t="inlineStr">
        <is>
          <t>AppStore vereist NLDT-architectuur als platform</t>
        </is>
      </c>
      <c r="G256" s="20" t="inlineStr">
        <is>
          <t>Verwerking bronnen 21-10-2026</t>
        </is>
      </c>
    </row>
    <row r="257" ht="28.35" customHeight="1" s="15">
      <c r="A257" s="20" t="inlineStr">
        <is>
          <t>DT-092</t>
        </is>
      </c>
      <c r="B257" s="20" t="inlineStr">
        <is>
          <t>Dutch Digital Twin AppStore (DDTAS)</t>
        </is>
      </c>
      <c r="C257" s="20" t="inlineStr">
        <is>
          <t>realisatie binnen</t>
        </is>
      </c>
      <c r="D257" s="20" t="inlineStr">
        <is>
          <t>DT-091</t>
        </is>
      </c>
      <c r="E257" s="20" t="inlineStr">
        <is>
          <t>DMI-ecosysteem (Dutch Metropolitan Innovations)</t>
        </is>
      </c>
      <c r="F257" s="20" t="inlineStr">
        <is>
          <t>Voorkeur realisatie DDTAS binnen DMI</t>
        </is>
      </c>
      <c r="G257" s="20" t="inlineStr">
        <is>
          <t>Verwerking bronnen 21-10-2026</t>
        </is>
      </c>
    </row>
    <row r="258" ht="28.35" customHeight="1" s="15">
      <c r="A258" s="20" t="inlineStr">
        <is>
          <t>DT-092</t>
        </is>
      </c>
      <c r="B258" s="20" t="inlineStr">
        <is>
          <t>Dutch Digital Twin AppStore (DDTAS)</t>
        </is>
      </c>
      <c r="C258" s="20" t="inlineStr">
        <is>
          <t>bouwt voort op</t>
        </is>
      </c>
      <c r="D258" s="20" t="inlineStr">
        <is>
          <t>DT-017</t>
        </is>
      </c>
      <c r="E258" s="20" t="inlineStr">
        <is>
          <t>Digital Twin as a Service-testbeds (Geonovum)</t>
        </is>
      </c>
      <c r="F258" s="20" t="inlineStr">
        <is>
          <t>Testbeds DTaaS tonen technische haalbaarheid</t>
        </is>
      </c>
      <c r="G258" s="20" t="inlineStr">
        <is>
          <t>Verwerking bronnen 21-10-2026</t>
        </is>
      </c>
    </row>
    <row r="259" ht="55.2" customHeight="1" s="15">
      <c r="A259" s="20" t="inlineStr">
        <is>
          <t>DT-002</t>
        </is>
      </c>
      <c r="B259" s="20" t="inlineStr">
        <is>
          <t>Actieagenda Digitalisering Energiesysteem (ADE)</t>
        </is>
      </c>
      <c r="C259" s="20" t="inlineStr">
        <is>
          <t>verbindt</t>
        </is>
      </c>
      <c r="D259" s="20" t="inlineStr">
        <is>
          <t>DT-006</t>
        </is>
      </c>
      <c r="E259" s="20" t="inlineStr">
        <is>
          <t>Programma Digitale Tweeling / NLDT-architectuur</t>
        </is>
      </c>
      <c r="F259" s="20" t="inlineStr">
        <is>
          <t>ADE-actie 1.1.3: nationale RA digitale tweelingen verbinden met nationale twin</t>
        </is>
      </c>
      <c r="G259" s="20" t="inlineStr">
        <is>
          <t>Verwerking bronnen 21-10-2026</t>
        </is>
      </c>
    </row>
    <row r="260" ht="41.75" customHeight="1" s="15">
      <c r="A260" s="20" t="inlineStr">
        <is>
          <t>DT-062</t>
        </is>
      </c>
      <c r="B260" s="20" t="inlineStr">
        <is>
          <t>Starlings: virtuele uitwisseling van energie en utilities in het havencluster Rotterdam</t>
        </is>
      </c>
      <c r="C260" s="20" t="inlineStr">
        <is>
          <t>vergelijkbaar met</t>
        </is>
      </c>
      <c r="D260" s="20" t="inlineStr">
        <is>
          <t>DT-028</t>
        </is>
      </c>
      <c r="E260" s="20" t="inlineStr">
        <is>
          <t>ORTESE Emmen: digital twin/shadow lokaal energiesysteem (incl. PRIME)</t>
        </is>
      </c>
      <c r="F260" s="20" t="inlineStr">
        <is>
          <t>Multi-commodity op cluster- of regioschaal</t>
        </is>
      </c>
      <c r="G260" s="20" t="inlineStr">
        <is>
          <t>Verwerking bronnen 21-10-2026</t>
        </is>
      </c>
    </row>
    <row r="261">
      <c r="A261" s="20" t="inlineStr">
        <is>
          <t>DT-083</t>
        </is>
      </c>
      <c r="B261" s="20" t="inlineStr">
        <is>
          <t>Keuzehulp en overzicht energietransitierekenmodellen (werkgroep ETRM, Netbeheer Nederland)</t>
        </is>
      </c>
      <c r="C261" s="20" t="inlineStr">
        <is>
          <t>omvat</t>
        </is>
      </c>
      <c r="D261" s="20" t="inlineStr">
        <is>
          <t>DT-064</t>
        </is>
      </c>
      <c r="E261" s="20" t="inlineStr">
        <is>
          <t>Energy Transition Model (ETM)</t>
        </is>
      </c>
      <c r="F261" s="20" t="inlineStr">
        <is>
          <t>Keuzehulp verwijst onder meer naar ETM</t>
        </is>
      </c>
      <c r="G261" s="20" t="inlineStr">
        <is>
          <t>Verwerking bronnen 21-10-2026</t>
        </is>
      </c>
    </row>
    <row r="262">
      <c r="A262" s="20" t="inlineStr">
        <is>
          <t>DT-146</t>
        </is>
      </c>
      <c r="B262" s="20" t="inlineStr">
        <is>
          <t>HOLON: holarchische lokale energiesystemen (Holontool en rapport Holons, ZEnMo e.a.)</t>
        </is>
      </c>
      <c r="C262" s="20" t="inlineStr">
        <is>
          <t>sluit aan op kader</t>
        </is>
      </c>
      <c r="D262" s="20" t="inlineStr">
        <is>
          <t>TSE-INNOV</t>
        </is>
      </c>
      <c r="E262" s="20" t="inlineStr">
        <is>
          <t>NL innovatie-instrumentarium (MOOI, KIC, Systeemintegratie, energiehubs, Nationaal Groeifonds)</t>
        </is>
      </c>
      <c r="F262" s="20" t="n"/>
      <c r="G262" s="20" t="inlineStr">
        <is>
          <t>https://www.witteveenbos.com/news/holontool</t>
        </is>
      </c>
    </row>
    <row r="263">
      <c r="A263" s="20" t="inlineStr">
        <is>
          <t>DT-146</t>
        </is>
      </c>
      <c r="B263" s="20" t="inlineStr">
        <is>
          <t>HOLON: holarchische lokale energiesystemen (Holontool en rapport Holons, ZEnMo e.a.)</t>
        </is>
      </c>
      <c r="C263" s="20" t="inlineStr">
        <is>
          <t>sluit aan op kader</t>
        </is>
      </c>
      <c r="D263" s="20" t="inlineStr">
        <is>
          <t>ADE</t>
        </is>
      </c>
      <c r="E263" s="20" t="inlineStr">
        <is>
          <t>Actieagenda Digitalisering Energiesysteem</t>
        </is>
      </c>
      <c r="F263" s="20" t="n"/>
      <c r="G263" s="20" t="inlineStr">
        <is>
          <t>https://solarmagazine.nl/nieuws-zonne-energie/i44683/slim-lokaal-flexibiliteitsbeheer-kan-kosten-verzwaren-stroomnet-halveren</t>
        </is>
      </c>
    </row>
    <row r="264">
      <c r="A264" s="20" t="inlineStr">
        <is>
          <t>DT-146</t>
        </is>
      </c>
      <c r="B264" s="20" t="inlineStr">
        <is>
          <t>HOLON: holarchische lokale energiesystemen (Holontool en rapport Holons, ZEnMo e.a.)</t>
        </is>
      </c>
      <c r="C264" s="20" t="inlineStr">
        <is>
          <t>gebruikt bouwsteen</t>
        </is>
      </c>
      <c r="D264" s="20" t="inlineStr">
        <is>
          <t>BS-HOLON</t>
        </is>
      </c>
      <c r="E264" s="20" t="inlineStr">
        <is>
          <t>HOLON-model (ZEnMo)</t>
        </is>
      </c>
      <c r="F264" s="20" t="n"/>
      <c r="G264" s="20" t="inlineStr">
        <is>
          <t>https://www.witteveenbos.com/news/holontool</t>
        </is>
      </c>
    </row>
    <row r="265">
      <c r="A265" s="20" t="inlineStr">
        <is>
          <t>DT-146</t>
        </is>
      </c>
      <c r="B265" s="20" t="inlineStr">
        <is>
          <t>HOLON: holarchische lokale energiesystemen (Holontool en rapport Holons, ZEnMo e.a.)</t>
        </is>
      </c>
      <c r="C265" s="20" t="inlineStr">
        <is>
          <t>gebruikt bouwsteen</t>
        </is>
      </c>
      <c r="D265" s="20" t="inlineStr">
        <is>
          <t>BS-ETM</t>
        </is>
      </c>
      <c r="E265" s="20" t="inlineStr">
        <is>
          <t>Energy Transition Model</t>
        </is>
      </c>
      <c r="F265" s="20" t="inlineStr">
        <is>
          <t>Holontool haalt data uit het ETM</t>
        </is>
      </c>
      <c r="G265" s="20" t="inlineStr">
        <is>
          <t>https://www.witteveenbos.com/news/holontool</t>
        </is>
      </c>
    </row>
    <row r="266">
      <c r="A266" s="20" t="inlineStr">
        <is>
          <t>DT-031</t>
        </is>
      </c>
      <c r="B266" s="20" t="inlineStr">
        <is>
          <t>Digital Twin Drechtsteden (HOLON/ZEnMo)</t>
        </is>
      </c>
      <c r="C266" s="20" t="inlineStr">
        <is>
          <t>gebruikt model van</t>
        </is>
      </c>
      <c r="D266" s="20" t="inlineStr">
        <is>
          <t>DT-146</t>
        </is>
      </c>
      <c r="E266" s="20" t="inlineStr">
        <is>
          <t>HOLON: holarchische lokale energiesystemen (Holontool en rapport Holons, ZEnMo e.a.)</t>
        </is>
      </c>
      <c r="F266" s="20" t="inlineStr">
        <is>
          <t>Drechtsteden-twin draait op het HOLON-model</t>
        </is>
      </c>
      <c r="G266" s="20" t="inlineStr">
        <is>
          <t>https://www.witteveenbos.com/news/holontool</t>
        </is>
      </c>
    </row>
    <row r="267">
      <c r="A267" s="20" t="inlineStr">
        <is>
          <t>DT-032</t>
        </is>
      </c>
      <c r="B267" s="20" t="inlineStr">
        <is>
          <t>Amersfoort De Wieken-Vinkenhoef energiehub-twin</t>
        </is>
      </c>
      <c r="C267" s="20" t="inlineStr">
        <is>
          <t>gebruikt model van</t>
        </is>
      </c>
      <c r="D267" s="20" t="inlineStr">
        <is>
          <t>DT-146</t>
        </is>
      </c>
      <c r="E267" s="20" t="inlineStr">
        <is>
          <t>HOLON: holarchische lokale energiesystemen (Holontool en rapport Holons, ZEnMo e.a.)</t>
        </is>
      </c>
      <c r="F267" s="20" t="inlineStr">
        <is>
          <t>Energiehub-twin Amersfoort draait op het HOLON-model</t>
        </is>
      </c>
      <c r="G267" s="20" t="inlineStr">
        <is>
          <t>https://www.witteveenbos.com/news/holontool</t>
        </is>
      </c>
    </row>
    <row r="268">
      <c r="A268" s="20" t="inlineStr">
        <is>
          <t>DT-146</t>
        </is>
      </c>
      <c r="B268" s="20" t="inlineStr">
        <is>
          <t>HOLON: holarchische lokale energiesystemen (Holontool en rapport Holons, ZEnMo e.a.)</t>
        </is>
      </c>
      <c r="C268" s="20" t="inlineStr">
        <is>
          <t>gebruikt data van</t>
        </is>
      </c>
      <c r="D268" s="20" t="inlineStr">
        <is>
          <t>DT-064</t>
        </is>
      </c>
      <c r="E268" s="20" t="inlineStr">
        <is>
          <t>Energy Transition Model (ETM)</t>
        </is>
      </c>
      <c r="F268" s="20" t="inlineStr">
        <is>
          <t>Holontool verrijkt ETM-data met eigen modelresultaten</t>
        </is>
      </c>
      <c r="G268" s="20" t="inlineStr">
        <is>
          <t>https://www.witteveenbos.com/news/holontool</t>
        </is>
      </c>
    </row>
    <row r="269">
      <c r="A269" s="20" t="inlineStr">
        <is>
          <t>DT-014</t>
        </is>
      </c>
      <c r="B269" s="20" t="inlineStr">
        <is>
          <t>Control Room of the Future en Digital Twin elektriciteitsnetwerk (ESP-lab TU Delft)</t>
        </is>
      </c>
      <c r="C269" s="20" t="inlineStr">
        <is>
          <t>verwant aan</t>
        </is>
      </c>
      <c r="D269" s="20" t="inlineStr">
        <is>
          <t>DT-012</t>
        </is>
      </c>
      <c r="E269" s="20" t="inlineStr">
        <is>
          <t>Nationale Faciliteit Digital Twin Elektriciteitssysteem</t>
        </is>
      </c>
      <c r="F269" s="20" t="inlineStr">
        <is>
          <t>Netsimulatie TU Delft naast de Nationale Faciliteit; verhouding te verifiëren</t>
        </is>
      </c>
      <c r="G269" s="20" t="inlineStr">
        <is>
          <t>https://www.tudelft.nl/ewi/onderzoek/faciliteiten/esp-lab/infrastructuur/digital-twin-elektriciteitsnetwerk</t>
        </is>
      </c>
    </row>
    <row r="270">
      <c r="A270" s="20" t="inlineStr">
        <is>
          <t>DT-014</t>
        </is>
      </c>
      <c r="B270" s="20" t="inlineStr">
        <is>
          <t>Control Room of the Future en Digital Twin elektriciteitsnetwerk (ESP-lab TU Delft)</t>
        </is>
      </c>
      <c r="C270" s="20" t="inlineStr">
        <is>
          <t>verwant aan</t>
        </is>
      </c>
      <c r="D270" s="20" t="inlineStr">
        <is>
          <t>DT-027</t>
        </is>
      </c>
      <c r="E270" s="20" t="inlineStr">
        <is>
          <t>UTOPYS: academische real-time EMT-simulator voor nationale elektriciteitssystemen (NWO LSRI)</t>
        </is>
      </c>
      <c r="F270" s="20" t="inlineStr">
        <is>
          <t>Beide TU Delft: real-time simulatie van het nationale net</t>
        </is>
      </c>
      <c r="G270" s="20" t="inlineStr">
        <is>
          <t>https://www.tudelft.nl/ewi/onderzoek/faciliteiten/esp-lab/infrastructuur/digital-twin-elektriciteitsnetwerk</t>
        </is>
      </c>
    </row>
  </sheetData>
  <autoFilter ref="A1:G215"/>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7.xml><?xml version="1.0" encoding="utf-8"?>
<worksheet xmlns="http://schemas.openxmlformats.org/spreadsheetml/2006/main">
  <sheetPr filterMode="0">
    <outlinePr summaryBelow="1" summaryRight="1"/>
    <pageSetUpPr fitToPage="0"/>
  </sheetPr>
  <dimension ref="A1:H86"/>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0" customWidth="1" style="14" min="1" max="1"/>
    <col width="15" customWidth="1" style="14" min="2" max="8"/>
  </cols>
  <sheetData>
    <row r="1" ht="15" customHeight="1" s="15">
      <c r="A1" s="27" t="inlineStr">
        <is>
          <t>Analyse portfolio (formules; rekent mee als het tabblad Portfolio wordt aangevuld)</t>
        </is>
      </c>
    </row>
    <row r="2"/>
    <row r="3" ht="15" customHeight="1" s="15">
      <c r="A3" s="27" t="inlineStr">
        <is>
          <t>1. Aantal initiatieven per gebied en rol</t>
        </is>
      </c>
    </row>
    <row r="4" ht="15" customHeight="1" s="15">
      <c r="A4" s="14" t="inlineStr">
        <is>
          <t>Rol \ Gebied</t>
        </is>
      </c>
      <c r="B4" s="14" t="inlineStr">
        <is>
          <t>NL</t>
        </is>
      </c>
      <c r="C4" s="14" t="inlineStr">
        <is>
          <t>EU-lidstaat</t>
        </is>
      </c>
      <c r="D4" s="14" t="inlineStr">
        <is>
          <t>Europees</t>
        </is>
      </c>
      <c r="E4" s="14" t="inlineStr">
        <is>
          <t>Internationaal</t>
        </is>
      </c>
      <c r="F4" s="14" t="inlineStr">
        <is>
          <t>Totaal</t>
        </is>
      </c>
    </row>
    <row r="5" ht="15" customHeight="1" s="15">
      <c r="A5" s="14" t="inlineStr">
        <is>
          <t>Kader</t>
        </is>
      </c>
      <c r="B5" s="14">
        <f>COUNTIFS(Portfolio!$H$2:$H$500,$A5,Portfolio!$F$2:$F$500,B$4)</f>
        <v/>
      </c>
      <c r="C5" s="14">
        <f>COUNTIFS(Portfolio!$H$2:$H$500,$A5,Portfolio!$F$2:$F$500,C$4)</f>
        <v/>
      </c>
      <c r="D5" s="14">
        <f>COUNTIFS(Portfolio!$H$2:$H$500,$A5,Portfolio!$F$2:$F$500,D$4)</f>
        <v/>
      </c>
      <c r="E5" s="14">
        <f>COUNTIFS(Portfolio!$H$2:$H$500,$A5,Portfolio!$F$2:$F$500,E$4)</f>
        <v/>
      </c>
      <c r="F5" s="14">
        <f>SUM(B5:E5)</f>
        <v/>
      </c>
    </row>
    <row r="6" ht="15" customHeight="1" s="15">
      <c r="A6" s="14" t="inlineStr">
        <is>
          <t>Faciliteit/R&amp;D</t>
        </is>
      </c>
      <c r="B6" s="14">
        <f>COUNTIFS(Portfolio!$H$2:$H$500,$A6,Portfolio!$F$2:$F$500,B$4)</f>
        <v/>
      </c>
      <c r="C6" s="14">
        <f>COUNTIFS(Portfolio!$H$2:$H$500,$A6,Portfolio!$F$2:$F$500,C$4)</f>
        <v/>
      </c>
      <c r="D6" s="14">
        <f>COUNTIFS(Portfolio!$H$2:$H$500,$A6,Portfolio!$F$2:$F$500,D$4)</f>
        <v/>
      </c>
      <c r="E6" s="14">
        <f>COUNTIFS(Portfolio!$H$2:$H$500,$A6,Portfolio!$F$2:$F$500,E$4)</f>
        <v/>
      </c>
      <c r="F6" s="14">
        <f>SUM(B6:E6)</f>
        <v/>
      </c>
    </row>
    <row r="7" ht="15" customHeight="1" s="15">
      <c r="A7" s="14" t="inlineStr">
        <is>
          <t>Twin-instantie</t>
        </is>
      </c>
      <c r="B7" s="14">
        <f>COUNTIFS(Portfolio!$H$2:$H$500,$A7,Portfolio!$F$2:$F$500,B$4)</f>
        <v/>
      </c>
      <c r="C7" s="14">
        <f>COUNTIFS(Portfolio!$H$2:$H$500,$A7,Portfolio!$F$2:$F$500,C$4)</f>
        <v/>
      </c>
      <c r="D7" s="14">
        <f>COUNTIFS(Portfolio!$H$2:$H$500,$A7,Portfolio!$F$2:$F$500,D$4)</f>
        <v/>
      </c>
      <c r="E7" s="14">
        <f>COUNTIFS(Portfolio!$H$2:$H$500,$A7,Portfolio!$F$2:$F$500,E$4)</f>
        <v/>
      </c>
      <c r="F7" s="14">
        <f>SUM(B7:E7)</f>
        <v/>
      </c>
    </row>
    <row r="8" ht="15" customHeight="1" s="15">
      <c r="A8" s="14" t="inlineStr">
        <is>
          <t>Bouwsteen</t>
        </is>
      </c>
      <c r="B8" s="14">
        <f>COUNTIFS(Portfolio!$H$2:$H$500,$A8,Portfolio!$F$2:$F$500,B$4)</f>
        <v/>
      </c>
      <c r="C8" s="14">
        <f>COUNTIFS(Portfolio!$H$2:$H$500,$A8,Portfolio!$F$2:$F$500,C$4)</f>
        <v/>
      </c>
      <c r="D8" s="14">
        <f>COUNTIFS(Portfolio!$H$2:$H$500,$A8,Portfolio!$F$2:$F$500,D$4)</f>
        <v/>
      </c>
      <c r="E8" s="14">
        <f>COUNTIFS(Portfolio!$H$2:$H$500,$A8,Portfolio!$F$2:$F$500,E$4)</f>
        <v/>
      </c>
      <c r="F8" s="14">
        <f>SUM(B8:E8)</f>
        <v/>
      </c>
    </row>
    <row r="9" ht="15" customHeight="1" s="15">
      <c r="A9" s="14" t="inlineStr">
        <is>
          <t>Data-infrastructuur</t>
        </is>
      </c>
      <c r="B9" s="14">
        <f>COUNTIFS(Portfolio!$H$2:$H$500,$A9,Portfolio!$F$2:$F$500,B$4)</f>
        <v/>
      </c>
      <c r="C9" s="14">
        <f>COUNTIFS(Portfolio!$H$2:$H$500,$A9,Portfolio!$F$2:$F$500,C$4)</f>
        <v/>
      </c>
      <c r="D9" s="14">
        <f>COUNTIFS(Portfolio!$H$2:$H$500,$A9,Portfolio!$F$2:$F$500,D$4)</f>
        <v/>
      </c>
      <c r="E9" s="14">
        <f>COUNTIFS(Portfolio!$H$2:$H$500,$A9,Portfolio!$F$2:$F$500,E$4)</f>
        <v/>
      </c>
      <c r="F9" s="14">
        <f>SUM(B9:E9)</f>
        <v/>
      </c>
    </row>
    <row r="10" ht="15" customHeight="1" s="15">
      <c r="A10" s="14" t="inlineStr">
        <is>
          <t>Samenwerking/kennis</t>
        </is>
      </c>
      <c r="B10" s="14">
        <f>COUNTIFS(Portfolio!$H$2:$H$500,$A10,Portfolio!$F$2:$F$500,B$4)</f>
        <v/>
      </c>
      <c r="C10" s="14">
        <f>COUNTIFS(Portfolio!$H$2:$H$500,$A10,Portfolio!$F$2:$F$500,C$4)</f>
        <v/>
      </c>
      <c r="D10" s="14">
        <f>COUNTIFS(Portfolio!$H$2:$H$500,$A10,Portfolio!$F$2:$F$500,D$4)</f>
        <v/>
      </c>
      <c r="E10" s="14">
        <f>COUNTIFS(Portfolio!$H$2:$H$500,$A10,Portfolio!$F$2:$F$500,E$4)</f>
        <v/>
      </c>
      <c r="F10" s="14">
        <f>SUM(B10:E10)</f>
        <v/>
      </c>
    </row>
    <row r="11" ht="15" customHeight="1" s="15">
      <c r="A11" s="14" t="inlineStr">
        <is>
          <t>Totaal</t>
        </is>
      </c>
      <c r="B11" s="14">
        <f>SUM(B5:B10)</f>
        <v/>
      </c>
      <c r="C11" s="14">
        <f>SUM(C5:C10)</f>
        <v/>
      </c>
      <c r="D11" s="14">
        <f>SUM(D5:D10)</f>
        <v/>
      </c>
      <c r="E11" s="14">
        <f>SUM(E5:E10)</f>
        <v/>
      </c>
      <c r="F11" s="14">
        <f>SUM(F5:F10)</f>
        <v/>
      </c>
    </row>
    <row r="12" ht="15" customHeight="1" s="15">
      <c r="A12" s="14" t="inlineStr">
        <is>
          <t>Controle: rijen in Portfolio</t>
        </is>
      </c>
      <c r="F12" s="14">
        <f>COUNTA(Portfolio!$A$2:$A$500)</f>
        <v/>
      </c>
    </row>
    <row r="13"/>
    <row r="14" ht="15" customHeight="1" s="15">
      <c r="A14" s="27" t="inlineStr">
        <is>
          <t>2. Twin-instanties en faciliteiten: primaire functie x schaalniveau</t>
        </is>
      </c>
      <c r="B14" s="28" t="inlineStr">
        <is>
          <t>Asset / installatie</t>
        </is>
      </c>
      <c r="C14" s="28" t="inlineStr">
        <is>
          <t>Gebouw / site</t>
        </is>
      </c>
      <c r="D14" s="28" t="inlineStr">
        <is>
          <t>Wijk / bedrijventerrein / hub</t>
        </is>
      </c>
      <c r="E14" s="28" t="inlineStr">
        <is>
          <t>Gemeente / regio</t>
        </is>
      </c>
      <c r="F14" s="28" t="inlineStr">
        <is>
          <t>Net / nationaal systeem</t>
        </is>
      </c>
      <c r="G14" s="28" t="inlineStr">
        <is>
          <t>Europees</t>
        </is>
      </c>
    </row>
    <row r="15" ht="15" customHeight="1" s="15">
      <c r="A15" s="14" t="inlineStr">
        <is>
          <t>Functie \ Schaal</t>
        </is>
      </c>
      <c r="B15" s="14" t="inlineStr">
        <is>
          <t>Asset</t>
        </is>
      </c>
      <c r="C15" s="14" t="inlineStr">
        <is>
          <t>Gebouw</t>
        </is>
      </c>
      <c r="D15" s="14" t="inlineStr">
        <is>
          <t>Wijk/hub</t>
        </is>
      </c>
      <c r="E15" s="14" t="inlineStr">
        <is>
          <t>Gemeente/regio</t>
        </is>
      </c>
      <c r="F15" s="14" t="inlineStr">
        <is>
          <t>Net/nationaal</t>
        </is>
      </c>
      <c r="G15" s="14" t="inlineStr">
        <is>
          <t>Europees</t>
        </is>
      </c>
      <c r="H15" s="14" t="inlineStr">
        <is>
          <t>Totaal</t>
        </is>
      </c>
    </row>
    <row r="16" ht="15" customHeight="1" s="15">
      <c r="A16" s="14" t="inlineStr">
        <is>
          <t>Inzicht &amp; monitoring</t>
        </is>
      </c>
      <c r="B16" s="14">
        <f>COUNTIFS(Portfolio!$I$2:$I$500,$A16,Portfolio!$K$2:$K$500,B$14,Portfolio!$H$2:$H$500,"Twin-instantie")+COUNTIFS(Portfolio!$I$2:$I$500,$A16,Portfolio!$K$2:$K$500,B$14,Portfolio!$H$2:$H$500,"Faciliteit/R&amp;D")</f>
        <v/>
      </c>
      <c r="C16" s="14">
        <f>COUNTIFS(Portfolio!$I$2:$I$500,$A16,Portfolio!$K$2:$K$500,C$14,Portfolio!$H$2:$H$500,"Twin-instantie")+COUNTIFS(Portfolio!$I$2:$I$500,$A16,Portfolio!$K$2:$K$500,C$14,Portfolio!$H$2:$H$500,"Faciliteit/R&amp;D")</f>
        <v/>
      </c>
      <c r="D16" s="14">
        <f>COUNTIFS(Portfolio!$I$2:$I$500,$A16,Portfolio!$K$2:$K$500,D$14,Portfolio!$H$2:$H$500,"Twin-instantie")+COUNTIFS(Portfolio!$I$2:$I$500,$A16,Portfolio!$K$2:$K$500,D$14,Portfolio!$H$2:$H$500,"Faciliteit/R&amp;D")</f>
        <v/>
      </c>
      <c r="E16" s="14">
        <f>COUNTIFS(Portfolio!$I$2:$I$500,$A16,Portfolio!$K$2:$K$500,E$14,Portfolio!$H$2:$H$500,"Twin-instantie")+COUNTIFS(Portfolio!$I$2:$I$500,$A16,Portfolio!$K$2:$K$500,E$14,Portfolio!$H$2:$H$500,"Faciliteit/R&amp;D")</f>
        <v/>
      </c>
      <c r="F16" s="14">
        <f>COUNTIFS(Portfolio!$I$2:$I$500,$A16,Portfolio!$K$2:$K$500,F$14,Portfolio!$H$2:$H$500,"Twin-instantie")+COUNTIFS(Portfolio!$I$2:$I$500,$A16,Portfolio!$K$2:$K$500,F$14,Portfolio!$H$2:$H$500,"Faciliteit/R&amp;D")</f>
        <v/>
      </c>
      <c r="G16" s="14">
        <f>COUNTIFS(Portfolio!$I$2:$I$500,$A16,Portfolio!$K$2:$K$500,G$14,Portfolio!$H$2:$H$500,"Twin-instantie")+COUNTIFS(Portfolio!$I$2:$I$500,$A16,Portfolio!$K$2:$K$500,G$14,Portfolio!$H$2:$H$500,"Faciliteit/R&amp;D")</f>
        <v/>
      </c>
      <c r="H16" s="14">
        <f>SUM(B16:G16)</f>
        <v/>
      </c>
    </row>
    <row r="17" ht="15" customHeight="1" s="15">
      <c r="A17" s="14" t="inlineStr">
        <is>
          <t>Voorspellen</t>
        </is>
      </c>
      <c r="B17" s="14">
        <f>COUNTIFS(Portfolio!$I$2:$I$500,$A17,Portfolio!$K$2:$K$500,B$14,Portfolio!$H$2:$H$500,"Twin-instantie")+COUNTIFS(Portfolio!$I$2:$I$500,$A17,Portfolio!$K$2:$K$500,B$14,Portfolio!$H$2:$H$500,"Faciliteit/R&amp;D")</f>
        <v/>
      </c>
      <c r="C17" s="14">
        <f>COUNTIFS(Portfolio!$I$2:$I$500,$A17,Portfolio!$K$2:$K$500,C$14,Portfolio!$H$2:$H$500,"Twin-instantie")+COUNTIFS(Portfolio!$I$2:$I$500,$A17,Portfolio!$K$2:$K$500,C$14,Portfolio!$H$2:$H$500,"Faciliteit/R&amp;D")</f>
        <v/>
      </c>
      <c r="D17" s="14">
        <f>COUNTIFS(Portfolio!$I$2:$I$500,$A17,Portfolio!$K$2:$K$500,D$14,Portfolio!$H$2:$H$500,"Twin-instantie")+COUNTIFS(Portfolio!$I$2:$I$500,$A17,Portfolio!$K$2:$K$500,D$14,Portfolio!$H$2:$H$500,"Faciliteit/R&amp;D")</f>
        <v/>
      </c>
      <c r="E17" s="14">
        <f>COUNTIFS(Portfolio!$I$2:$I$500,$A17,Portfolio!$K$2:$K$500,E$14,Portfolio!$H$2:$H$500,"Twin-instantie")+COUNTIFS(Portfolio!$I$2:$I$500,$A17,Portfolio!$K$2:$K$500,E$14,Portfolio!$H$2:$H$500,"Faciliteit/R&amp;D")</f>
        <v/>
      </c>
      <c r="F17" s="14">
        <f>COUNTIFS(Portfolio!$I$2:$I$500,$A17,Portfolio!$K$2:$K$500,F$14,Portfolio!$H$2:$H$500,"Twin-instantie")+COUNTIFS(Portfolio!$I$2:$I$500,$A17,Portfolio!$K$2:$K$500,F$14,Portfolio!$H$2:$H$500,"Faciliteit/R&amp;D")</f>
        <v/>
      </c>
      <c r="G17" s="14">
        <f>COUNTIFS(Portfolio!$I$2:$I$500,$A17,Portfolio!$K$2:$K$500,G$14,Portfolio!$H$2:$H$500,"Twin-instantie")+COUNTIFS(Portfolio!$I$2:$I$500,$A17,Portfolio!$K$2:$K$500,G$14,Portfolio!$H$2:$H$500,"Faciliteit/R&amp;D")</f>
        <v/>
      </c>
      <c r="H17" s="14">
        <f>SUM(B17:G17)</f>
        <v/>
      </c>
    </row>
    <row r="18" ht="15" customHeight="1" s="15">
      <c r="A18" s="14" t="inlineStr">
        <is>
          <t>Scenario &amp; planning</t>
        </is>
      </c>
      <c r="B18" s="14">
        <f>COUNTIFS(Portfolio!$I$2:$I$500,$A18,Portfolio!$K$2:$K$500,B$14,Portfolio!$H$2:$H$500,"Twin-instantie")+COUNTIFS(Portfolio!$I$2:$I$500,$A18,Portfolio!$K$2:$K$500,B$14,Portfolio!$H$2:$H$500,"Faciliteit/R&amp;D")</f>
        <v/>
      </c>
      <c r="C18" s="14">
        <f>COUNTIFS(Portfolio!$I$2:$I$500,$A18,Portfolio!$K$2:$K$500,C$14,Portfolio!$H$2:$H$500,"Twin-instantie")+COUNTIFS(Portfolio!$I$2:$I$500,$A18,Portfolio!$K$2:$K$500,C$14,Portfolio!$H$2:$H$500,"Faciliteit/R&amp;D")</f>
        <v/>
      </c>
      <c r="D18" s="14">
        <f>COUNTIFS(Portfolio!$I$2:$I$500,$A18,Portfolio!$K$2:$K$500,D$14,Portfolio!$H$2:$H$500,"Twin-instantie")+COUNTIFS(Portfolio!$I$2:$I$500,$A18,Portfolio!$K$2:$K$500,D$14,Portfolio!$H$2:$H$500,"Faciliteit/R&amp;D")</f>
        <v/>
      </c>
      <c r="E18" s="14">
        <f>COUNTIFS(Portfolio!$I$2:$I$500,$A18,Portfolio!$K$2:$K$500,E$14,Portfolio!$H$2:$H$500,"Twin-instantie")+COUNTIFS(Portfolio!$I$2:$I$500,$A18,Portfolio!$K$2:$K$500,E$14,Portfolio!$H$2:$H$500,"Faciliteit/R&amp;D")</f>
        <v/>
      </c>
      <c r="F18" s="14">
        <f>COUNTIFS(Portfolio!$I$2:$I$500,$A18,Portfolio!$K$2:$K$500,F$14,Portfolio!$H$2:$H$500,"Twin-instantie")+COUNTIFS(Portfolio!$I$2:$I$500,$A18,Portfolio!$K$2:$K$500,F$14,Portfolio!$H$2:$H$500,"Faciliteit/R&amp;D")</f>
        <v/>
      </c>
      <c r="G18" s="14">
        <f>COUNTIFS(Portfolio!$I$2:$I$500,$A18,Portfolio!$K$2:$K$500,G$14,Portfolio!$H$2:$H$500,"Twin-instantie")+COUNTIFS(Portfolio!$I$2:$I$500,$A18,Portfolio!$K$2:$K$500,G$14,Portfolio!$H$2:$H$500,"Faciliteit/R&amp;D")</f>
        <v/>
      </c>
      <c r="H18" s="14">
        <f>SUM(B18:G18)</f>
        <v/>
      </c>
    </row>
    <row r="19" ht="15" customHeight="1" s="15">
      <c r="A19" s="14" t="inlineStr">
        <is>
          <t>Sturing &amp; optimalisatie</t>
        </is>
      </c>
      <c r="B19" s="14">
        <f>COUNTIFS(Portfolio!$I$2:$I$500,$A19,Portfolio!$K$2:$K$500,B$14,Portfolio!$H$2:$H$500,"Twin-instantie")+COUNTIFS(Portfolio!$I$2:$I$500,$A19,Portfolio!$K$2:$K$500,B$14,Portfolio!$H$2:$H$500,"Faciliteit/R&amp;D")</f>
        <v/>
      </c>
      <c r="C19" s="14">
        <f>COUNTIFS(Portfolio!$I$2:$I$500,$A19,Portfolio!$K$2:$K$500,C$14,Portfolio!$H$2:$H$500,"Twin-instantie")+COUNTIFS(Portfolio!$I$2:$I$500,$A19,Portfolio!$K$2:$K$500,C$14,Portfolio!$H$2:$H$500,"Faciliteit/R&amp;D")</f>
        <v/>
      </c>
      <c r="D19" s="14">
        <f>COUNTIFS(Portfolio!$I$2:$I$500,$A19,Portfolio!$K$2:$K$500,D$14,Portfolio!$H$2:$H$500,"Twin-instantie")+COUNTIFS(Portfolio!$I$2:$I$500,$A19,Portfolio!$K$2:$K$500,D$14,Portfolio!$H$2:$H$500,"Faciliteit/R&amp;D")</f>
        <v/>
      </c>
      <c r="E19" s="14">
        <f>COUNTIFS(Portfolio!$I$2:$I$500,$A19,Portfolio!$K$2:$K$500,E$14,Portfolio!$H$2:$H$500,"Twin-instantie")+COUNTIFS(Portfolio!$I$2:$I$500,$A19,Portfolio!$K$2:$K$500,E$14,Portfolio!$H$2:$H$500,"Faciliteit/R&amp;D")</f>
        <v/>
      </c>
      <c r="F19" s="14">
        <f>COUNTIFS(Portfolio!$I$2:$I$500,$A19,Portfolio!$K$2:$K$500,F$14,Portfolio!$H$2:$H$500,"Twin-instantie")+COUNTIFS(Portfolio!$I$2:$I$500,$A19,Portfolio!$K$2:$K$500,F$14,Portfolio!$H$2:$H$500,"Faciliteit/R&amp;D")</f>
        <v/>
      </c>
      <c r="G19" s="14">
        <f>COUNTIFS(Portfolio!$I$2:$I$500,$A19,Portfolio!$K$2:$K$500,G$14,Portfolio!$H$2:$H$500,"Twin-instantie")+COUNTIFS(Portfolio!$I$2:$I$500,$A19,Portfolio!$K$2:$K$500,G$14,Portfolio!$H$2:$H$500,"Faciliteit/R&amp;D")</f>
        <v/>
      </c>
      <c r="H19" s="14">
        <f>SUM(B19:G19)</f>
        <v/>
      </c>
    </row>
    <row r="20" ht="15" customHeight="1" s="15">
      <c r="A20" s="14" t="inlineStr">
        <is>
          <t>Ontwerp &amp; engineering</t>
        </is>
      </c>
      <c r="B20" s="14">
        <f>COUNTIFS(Portfolio!$I$2:$I$500,$A20,Portfolio!$K$2:$K$500,B$14,Portfolio!$H$2:$H$500,"Twin-instantie")+COUNTIFS(Portfolio!$I$2:$I$500,$A20,Portfolio!$K$2:$K$500,B$14,Portfolio!$H$2:$H$500,"Faciliteit/R&amp;D")</f>
        <v/>
      </c>
      <c r="C20" s="14">
        <f>COUNTIFS(Portfolio!$I$2:$I$500,$A20,Portfolio!$K$2:$K$500,C$14,Portfolio!$H$2:$H$500,"Twin-instantie")+COUNTIFS(Portfolio!$I$2:$I$500,$A20,Portfolio!$K$2:$K$500,C$14,Portfolio!$H$2:$H$500,"Faciliteit/R&amp;D")</f>
        <v/>
      </c>
      <c r="D20" s="14">
        <f>COUNTIFS(Portfolio!$I$2:$I$500,$A20,Portfolio!$K$2:$K$500,D$14,Portfolio!$H$2:$H$500,"Twin-instantie")+COUNTIFS(Portfolio!$I$2:$I$500,$A20,Portfolio!$K$2:$K$500,D$14,Portfolio!$H$2:$H$500,"Faciliteit/R&amp;D")</f>
        <v/>
      </c>
      <c r="E20" s="14">
        <f>COUNTIFS(Portfolio!$I$2:$I$500,$A20,Portfolio!$K$2:$K$500,E$14,Portfolio!$H$2:$H$500,"Twin-instantie")+COUNTIFS(Portfolio!$I$2:$I$500,$A20,Portfolio!$K$2:$K$500,E$14,Portfolio!$H$2:$H$500,"Faciliteit/R&amp;D")</f>
        <v/>
      </c>
      <c r="F20" s="14">
        <f>COUNTIFS(Portfolio!$I$2:$I$500,$A20,Portfolio!$K$2:$K$500,F$14,Portfolio!$H$2:$H$500,"Twin-instantie")+COUNTIFS(Portfolio!$I$2:$I$500,$A20,Portfolio!$K$2:$K$500,F$14,Portfolio!$H$2:$H$500,"Faciliteit/R&amp;D")</f>
        <v/>
      </c>
      <c r="G20" s="14">
        <f>COUNTIFS(Portfolio!$I$2:$I$500,$A20,Portfolio!$K$2:$K$500,G$14,Portfolio!$H$2:$H$500,"Twin-instantie")+COUNTIFS(Portfolio!$I$2:$I$500,$A20,Portfolio!$K$2:$K$500,G$14,Portfolio!$H$2:$H$500,"Faciliteit/R&amp;D")</f>
        <v/>
      </c>
      <c r="H20" s="14">
        <f>SUM(B20:G20)</f>
        <v/>
      </c>
    </row>
    <row r="21" ht="15" customHeight="1" s="15">
      <c r="A21" s="14" t="inlineStr">
        <is>
          <t>Gezamenlijke besluitvorming</t>
        </is>
      </c>
      <c r="B21" s="14">
        <f>COUNTIFS(Portfolio!$I$2:$I$500,$A21,Portfolio!$K$2:$K$500,B$14,Portfolio!$H$2:$H$500,"Twin-instantie")+COUNTIFS(Portfolio!$I$2:$I$500,$A21,Portfolio!$K$2:$K$500,B$14,Portfolio!$H$2:$H$500,"Faciliteit/R&amp;D")</f>
        <v/>
      </c>
      <c r="C21" s="14">
        <f>COUNTIFS(Portfolio!$I$2:$I$500,$A21,Portfolio!$K$2:$K$500,C$14,Portfolio!$H$2:$H$500,"Twin-instantie")+COUNTIFS(Portfolio!$I$2:$I$500,$A21,Portfolio!$K$2:$K$500,C$14,Portfolio!$H$2:$H$500,"Faciliteit/R&amp;D")</f>
        <v/>
      </c>
      <c r="D21" s="14">
        <f>COUNTIFS(Portfolio!$I$2:$I$500,$A21,Portfolio!$K$2:$K$500,D$14,Portfolio!$H$2:$H$500,"Twin-instantie")+COUNTIFS(Portfolio!$I$2:$I$500,$A21,Portfolio!$K$2:$K$500,D$14,Portfolio!$H$2:$H$500,"Faciliteit/R&amp;D")</f>
        <v/>
      </c>
      <c r="E21" s="14">
        <f>COUNTIFS(Portfolio!$I$2:$I$500,$A21,Portfolio!$K$2:$K$500,E$14,Portfolio!$H$2:$H$500,"Twin-instantie")+COUNTIFS(Portfolio!$I$2:$I$500,$A21,Portfolio!$K$2:$K$500,E$14,Portfolio!$H$2:$H$500,"Faciliteit/R&amp;D")</f>
        <v/>
      </c>
      <c r="F21" s="14">
        <f>COUNTIFS(Portfolio!$I$2:$I$500,$A21,Portfolio!$K$2:$K$500,F$14,Portfolio!$H$2:$H$500,"Twin-instantie")+COUNTIFS(Portfolio!$I$2:$I$500,$A21,Portfolio!$K$2:$K$500,F$14,Portfolio!$H$2:$H$500,"Faciliteit/R&amp;D")</f>
        <v/>
      </c>
      <c r="G21" s="14">
        <f>COUNTIFS(Portfolio!$I$2:$I$500,$A21,Portfolio!$K$2:$K$500,G$14,Portfolio!$H$2:$H$500,"Twin-instantie")+COUNTIFS(Portfolio!$I$2:$I$500,$A21,Portfolio!$K$2:$K$500,G$14,Portfolio!$H$2:$H$500,"Faciliteit/R&amp;D")</f>
        <v/>
      </c>
      <c r="H21" s="14">
        <f>SUM(B21:G21)</f>
        <v/>
      </c>
    </row>
    <row r="22" ht="15" customHeight="1" s="15">
      <c r="A22" s="14" t="inlineStr">
        <is>
          <t>Onderzoek &amp; training</t>
        </is>
      </c>
      <c r="B22" s="14">
        <f>COUNTIFS(Portfolio!$I$2:$I$500,$A22,Portfolio!$K$2:$K$500,B$14,Portfolio!$H$2:$H$500,"Twin-instantie")+COUNTIFS(Portfolio!$I$2:$I$500,$A22,Portfolio!$K$2:$K$500,B$14,Portfolio!$H$2:$H$500,"Faciliteit/R&amp;D")</f>
        <v/>
      </c>
      <c r="C22" s="14">
        <f>COUNTIFS(Portfolio!$I$2:$I$500,$A22,Portfolio!$K$2:$K$500,C$14,Portfolio!$H$2:$H$500,"Twin-instantie")+COUNTIFS(Portfolio!$I$2:$I$500,$A22,Portfolio!$K$2:$K$500,C$14,Portfolio!$H$2:$H$500,"Faciliteit/R&amp;D")</f>
        <v/>
      </c>
      <c r="D22" s="14">
        <f>COUNTIFS(Portfolio!$I$2:$I$500,$A22,Portfolio!$K$2:$K$500,D$14,Portfolio!$H$2:$H$500,"Twin-instantie")+COUNTIFS(Portfolio!$I$2:$I$500,$A22,Portfolio!$K$2:$K$500,D$14,Portfolio!$H$2:$H$500,"Faciliteit/R&amp;D")</f>
        <v/>
      </c>
      <c r="E22" s="14">
        <f>COUNTIFS(Portfolio!$I$2:$I$500,$A22,Portfolio!$K$2:$K$500,E$14,Portfolio!$H$2:$H$500,"Twin-instantie")+COUNTIFS(Portfolio!$I$2:$I$500,$A22,Portfolio!$K$2:$K$500,E$14,Portfolio!$H$2:$H$500,"Faciliteit/R&amp;D")</f>
        <v/>
      </c>
      <c r="F22" s="14">
        <f>COUNTIFS(Portfolio!$I$2:$I$500,$A22,Portfolio!$K$2:$K$500,F$14,Portfolio!$H$2:$H$500,"Twin-instantie")+COUNTIFS(Portfolio!$I$2:$I$500,$A22,Portfolio!$K$2:$K$500,F$14,Portfolio!$H$2:$H$500,"Faciliteit/R&amp;D")</f>
        <v/>
      </c>
      <c r="G22" s="14">
        <f>COUNTIFS(Portfolio!$I$2:$I$500,$A22,Portfolio!$K$2:$K$500,G$14,Portfolio!$H$2:$H$500,"Twin-instantie")+COUNTIFS(Portfolio!$I$2:$I$500,$A22,Portfolio!$K$2:$K$500,G$14,Portfolio!$H$2:$H$500,"Faciliteit/R&amp;D")</f>
        <v/>
      </c>
      <c r="H22" s="14">
        <f>SUM(B22:G22)</f>
        <v/>
      </c>
    </row>
    <row r="23"/>
    <row r="24"/>
    <row r="25" ht="15" customHeight="1" s="15">
      <c r="A25" s="27" t="inlineStr">
        <is>
          <t>3. Twin-instanties: volwassenheid per gebied</t>
        </is>
      </c>
    </row>
    <row r="26" ht="15" customHeight="1" s="15">
      <c r="A26" s="14" t="inlineStr">
        <is>
          <t>Volwassenheid \ Gebied</t>
        </is>
      </c>
      <c r="B26" s="14" t="inlineStr">
        <is>
          <t>NL</t>
        </is>
      </c>
      <c r="C26" s="14" t="inlineStr">
        <is>
          <t>EU-lidstaat</t>
        </is>
      </c>
      <c r="D26" s="14" t="inlineStr">
        <is>
          <t>Europees</t>
        </is>
      </c>
      <c r="E26" s="14" t="inlineStr">
        <is>
          <t>Internationaal</t>
        </is>
      </c>
    </row>
    <row r="27" ht="15" customHeight="1" s="15">
      <c r="A27" s="14" t="inlineStr">
        <is>
          <t>1 Verkenning</t>
        </is>
      </c>
      <c r="B27" s="14">
        <f>COUNTIFS(Portfolio!$N$2:$N$500,$A27,Portfolio!$F$2:$F$500,B$26,Portfolio!$H$2:$H$500,"Twin-instantie")</f>
        <v/>
      </c>
      <c r="C27" s="14">
        <f>COUNTIFS(Portfolio!$N$2:$N$500,$A27,Portfolio!$F$2:$F$500,C$26,Portfolio!$H$2:$H$500,"Twin-instantie")</f>
        <v/>
      </c>
      <c r="D27" s="14">
        <f>COUNTIFS(Portfolio!$N$2:$N$500,$A27,Portfolio!$F$2:$F$500,D$26,Portfolio!$H$2:$H$500,"Twin-instantie")</f>
        <v/>
      </c>
      <c r="E27" s="14">
        <f>COUNTIFS(Portfolio!$N$2:$N$500,$A27,Portfolio!$F$2:$F$500,E$26,Portfolio!$H$2:$H$500,"Twin-instantie")</f>
        <v/>
      </c>
    </row>
    <row r="28" ht="15" customHeight="1" s="15">
      <c r="A28" s="14" t="inlineStr">
        <is>
          <t>2 Pilot/PoC</t>
        </is>
      </c>
      <c r="B28" s="14">
        <f>COUNTIFS(Portfolio!$N$2:$N$500,$A28,Portfolio!$F$2:$F$500,B$26,Portfolio!$H$2:$H$500,"Twin-instantie")</f>
        <v/>
      </c>
      <c r="C28" s="14">
        <f>COUNTIFS(Portfolio!$N$2:$N$500,$A28,Portfolio!$F$2:$F$500,C$26,Portfolio!$H$2:$H$500,"Twin-instantie")</f>
        <v/>
      </c>
      <c r="D28" s="14">
        <f>COUNTIFS(Portfolio!$N$2:$N$500,$A28,Portfolio!$F$2:$F$500,D$26,Portfolio!$H$2:$H$500,"Twin-instantie")</f>
        <v/>
      </c>
      <c r="E28" s="14">
        <f>COUNTIFS(Portfolio!$N$2:$N$500,$A28,Portfolio!$F$2:$F$500,E$26,Portfolio!$H$2:$H$500,"Twin-instantie")</f>
        <v/>
      </c>
    </row>
    <row r="29" ht="15" customHeight="1" s="15">
      <c r="A29" s="14" t="inlineStr">
        <is>
          <t>3 Demonstratie/lab</t>
        </is>
      </c>
      <c r="B29" s="14">
        <f>COUNTIFS(Portfolio!$N$2:$N$500,$A29,Portfolio!$F$2:$F$500,B$26,Portfolio!$H$2:$H$500,"Twin-instantie")</f>
        <v/>
      </c>
      <c r="C29" s="14">
        <f>COUNTIFS(Portfolio!$N$2:$N$500,$A29,Portfolio!$F$2:$F$500,C$26,Portfolio!$H$2:$H$500,"Twin-instantie")</f>
        <v/>
      </c>
      <c r="D29" s="14">
        <f>COUNTIFS(Portfolio!$N$2:$N$500,$A29,Portfolio!$F$2:$F$500,D$26,Portfolio!$H$2:$H$500,"Twin-instantie")</f>
        <v/>
      </c>
      <c r="E29" s="14">
        <f>COUNTIFS(Portfolio!$N$2:$N$500,$A29,Portfolio!$F$2:$F$500,E$26,Portfolio!$H$2:$H$500,"Twin-instantie")</f>
        <v/>
      </c>
    </row>
    <row r="30" ht="15" customHeight="1" s="15">
      <c r="A30" s="14" t="inlineStr">
        <is>
          <t>4 Operationeel</t>
        </is>
      </c>
      <c r="B30" s="14">
        <f>COUNTIFS(Portfolio!$N$2:$N$500,$A30,Portfolio!$F$2:$F$500,B$26,Portfolio!$H$2:$H$500,"Twin-instantie")</f>
        <v/>
      </c>
      <c r="C30" s="14">
        <f>COUNTIFS(Portfolio!$N$2:$N$500,$A30,Portfolio!$F$2:$F$500,C$26,Portfolio!$H$2:$H$500,"Twin-instantie")</f>
        <v/>
      </c>
      <c r="D30" s="14">
        <f>COUNTIFS(Portfolio!$N$2:$N$500,$A30,Portfolio!$F$2:$F$500,D$26,Portfolio!$H$2:$H$500,"Twin-instantie")</f>
        <v/>
      </c>
      <c r="E30" s="14">
        <f>COUNTIFS(Portfolio!$N$2:$N$500,$A30,Portfolio!$F$2:$F$500,E$26,Portfolio!$H$2:$H$500,"Twin-instantie")</f>
        <v/>
      </c>
    </row>
    <row r="31" ht="15" customHeight="1" s="15">
      <c r="A31" s="14" t="inlineStr">
        <is>
          <t>5 Opgeschaald</t>
        </is>
      </c>
      <c r="B31" s="14">
        <f>COUNTIFS(Portfolio!$N$2:$N$500,$A31,Portfolio!$F$2:$F$500,B$26,Portfolio!$H$2:$H$500,"Twin-instantie")</f>
        <v/>
      </c>
      <c r="C31" s="14">
        <f>COUNTIFS(Portfolio!$N$2:$N$500,$A31,Portfolio!$F$2:$F$500,C$26,Portfolio!$H$2:$H$500,"Twin-instantie")</f>
        <v/>
      </c>
      <c r="D31" s="14">
        <f>COUNTIFS(Portfolio!$N$2:$N$500,$A31,Portfolio!$F$2:$F$500,D$26,Portfolio!$H$2:$H$500,"Twin-instantie")</f>
        <v/>
      </c>
      <c r="E31" s="14">
        <f>COUNTIFS(Portfolio!$N$2:$N$500,$A31,Portfolio!$F$2:$F$500,E$26,Portfolio!$H$2:$H$500,"Twin-instantie")</f>
        <v/>
      </c>
    </row>
    <row r="32"/>
    <row r="33"/>
    <row r="34" ht="15" customHeight="1" s="15">
      <c r="A34" s="27" t="inlineStr">
        <is>
          <t>4. Aansluiting op kaders (aantal initiatieven met deze kadercode)</t>
        </is>
      </c>
    </row>
    <row r="35" ht="15" customHeight="1" s="15">
      <c r="A35" s="14" t="inlineStr">
        <is>
          <t>Kader</t>
        </is>
      </c>
      <c r="B35" s="14" t="inlineStr">
        <is>
          <t>Code</t>
        </is>
      </c>
      <c r="C35" s="14" t="inlineStr">
        <is>
          <t>Aantal</t>
        </is>
      </c>
      <c r="D35" s="14" t="inlineStr">
        <is>
          <t>Waarvan buiten NL</t>
        </is>
      </c>
    </row>
    <row r="36" ht="15" customHeight="1" s="15">
      <c r="A36" s="14" t="inlineStr">
        <is>
          <t>Nationaal Plan Energiesysteem (actualisatie 2026)</t>
        </is>
      </c>
      <c r="B36" s="14" t="inlineStr">
        <is>
          <t>NPE</t>
        </is>
      </c>
      <c r="C36" s="14">
        <f>COUNTIF(Portfolio!$P$2:$P$500,"*"&amp;B36&amp;"*")</f>
        <v/>
      </c>
      <c r="D36" s="14">
        <f>COUNTIFS(Portfolio!$P$2:$P$500,"*"&amp;B36&amp;"*",Portfolio!$F$2:$F$500,"&lt;&gt;NL",Portfolio!$A$2:$A$500,"&lt;&gt;")</f>
        <v/>
      </c>
    </row>
    <row r="37" ht="15" customHeight="1" s="15">
      <c r="A37" s="14" t="inlineStr">
        <is>
          <t>Actieagenda Digitalisering Energiesysteem</t>
        </is>
      </c>
      <c r="B37" s="14" t="inlineStr">
        <is>
          <t>ADE</t>
        </is>
      </c>
      <c r="C37" s="14">
        <f>COUNTIF(Portfolio!$P$2:$P$500,"*"&amp;B37&amp;"*")</f>
        <v/>
      </c>
      <c r="D37" s="14">
        <f>COUNTIFS(Portfolio!$P$2:$P$500,"*"&amp;B37&amp;"*",Portfolio!$F$2:$F$500,"&lt;&gt;NL",Portfolio!$A$2:$A$500,"&lt;&gt;")</f>
        <v/>
      </c>
    </row>
    <row r="38" ht="15" customHeight="1" s="15">
      <c r="A38" s="14" t="inlineStr">
        <is>
          <t>Nederlandse Energie Domein Referentie Architectuur</t>
        </is>
      </c>
      <c r="B38" s="14" t="inlineStr">
        <is>
          <t>NEDRA</t>
        </is>
      </c>
      <c r="C38" s="14">
        <f>COUNTIF(Portfolio!$P$2:$P$500,"*"&amp;B38&amp;"*")</f>
        <v/>
      </c>
      <c r="D38" s="14">
        <f>COUNTIFS(Portfolio!$P$2:$P$500,"*"&amp;B38&amp;"*",Portfolio!$F$2:$F$500,"&lt;&gt;NL",Portfolio!$A$2:$A$500,"&lt;&gt;")</f>
        <v/>
      </c>
    </row>
    <row r="39" ht="15" customHeight="1" s="15">
      <c r="A39" s="14" t="inlineStr">
        <is>
          <t>Programma Digitale Tweeling / NLDT-architectuur (nLDT)</t>
        </is>
      </c>
      <c r="B39" s="14" t="inlineStr">
        <is>
          <t>NLDT</t>
        </is>
      </c>
      <c r="C39" s="14">
        <f>COUNTIF(Portfolio!$P$2:$P$500,"*"&amp;B39&amp;"*")</f>
        <v/>
      </c>
      <c r="D39" s="14">
        <f>COUNTIFS(Portfolio!$P$2:$P$500,"*"&amp;B39&amp;"*",Portfolio!$F$2:$F$500,"&lt;&gt;NL",Portfolio!$A$2:$A$500,"&lt;&gt;")</f>
        <v/>
      </c>
    </row>
    <row r="40" ht="15" customHeight="1" s="15">
      <c r="A40" s="14" t="inlineStr">
        <is>
          <t>Digitaal Stelsel Gebouwde Omgeving</t>
        </is>
      </c>
      <c r="B40" s="14" t="inlineStr">
        <is>
          <t>DSGO</t>
        </is>
      </c>
      <c r="C40" s="14">
        <f>COUNTIF(Portfolio!$P$2:$P$500,"*"&amp;B40&amp;"*")</f>
        <v/>
      </c>
      <c r="D40" s="14">
        <f>COUNTIFS(Portfolio!$P$2:$P$500,"*"&amp;B40&amp;"*",Portfolio!$F$2:$F$500,"&lt;&gt;NL",Portfolio!$A$2:$A$500,"&lt;&gt;")</f>
        <v/>
      </c>
    </row>
    <row r="41" ht="15" customHeight="1" s="15">
      <c r="A41" s="14" t="inlineStr">
        <is>
          <t>Afsprakenstelsel energiedata (Het Normo, Energiewet)</t>
        </is>
      </c>
      <c r="B41" s="14" t="inlineStr">
        <is>
          <t>HETNORMO</t>
        </is>
      </c>
      <c r="C41" s="14">
        <f>COUNTIF(Portfolio!$P$2:$P$500,"*"&amp;B41&amp;"*")</f>
        <v/>
      </c>
      <c r="D41" s="14">
        <f>COUNTIFS(Portfolio!$P$2:$P$500,"*"&amp;B41&amp;"*",Portfolio!$F$2:$F$500,"&lt;&gt;NL",Portfolio!$A$2:$A$500,"&lt;&gt;")</f>
        <v/>
      </c>
    </row>
    <row r="42" ht="15" customHeight="1" s="15">
      <c r="A42" s="14" t="inlineStr">
        <is>
          <t>NL innovatie-instrumentarium (MOOI, KIC, Systeemintegratie, energiehubs, Nationaal Groeifonds)</t>
        </is>
      </c>
      <c r="B42" s="14" t="inlineStr">
        <is>
          <t>TSE-INNOV</t>
        </is>
      </c>
      <c r="C42" s="14">
        <f>COUNTIF(Portfolio!$P$2:$P$500,"*"&amp;B42&amp;"*")</f>
        <v/>
      </c>
      <c r="D42" s="14">
        <f>COUNTIFS(Portfolio!$P$2:$P$500,"*"&amp;B42&amp;"*",Portfolio!$F$2:$F$500,"&lt;&gt;NL",Portfolio!$A$2:$A$500,"&lt;&gt;")</f>
        <v/>
      </c>
    </row>
    <row r="43" ht="15" customHeight="1" s="15">
      <c r="A43" s="14" t="inlineStr">
        <is>
          <t>Smart Grid Architecture Model</t>
        </is>
      </c>
      <c r="B43" s="14" t="inlineStr">
        <is>
          <t>SGAM</t>
        </is>
      </c>
      <c r="C43" s="14">
        <f>COUNTIF(Portfolio!$P$2:$P$500,"*"&amp;B43&amp;"*")</f>
        <v/>
      </c>
      <c r="D43" s="14">
        <f>COUNTIFS(Portfolio!$P$2:$P$500,"*"&amp;B43&amp;"*",Portfolio!$F$2:$F$500,"&lt;&gt;NL",Portfolio!$A$2:$A$500,"&lt;&gt;")</f>
        <v/>
      </c>
    </row>
    <row r="44" ht="15" customHeight="1" s="15">
      <c r="A44" s="14" t="inlineStr">
        <is>
          <t>EU Actieplan Digitalisering Energiesysteem (2022)</t>
        </is>
      </c>
      <c r="B44" s="14" t="inlineStr">
        <is>
          <t>EU-AP22</t>
        </is>
      </c>
      <c r="C44" s="14">
        <f>COUNTIF(Portfolio!$P$2:$P$500,"*"&amp;B44&amp;"*")</f>
        <v/>
      </c>
      <c r="D44" s="14">
        <f>COUNTIFS(Portfolio!$P$2:$P$500,"*"&amp;B44&amp;"*",Portfolio!$F$2:$F$500,"&lt;&gt;NL",Portfolio!$A$2:$A$500,"&lt;&gt;")</f>
        <v/>
      </c>
    </row>
    <row r="45" ht="15" customHeight="1" s="15">
      <c r="A45" s="14" t="inlineStr">
        <is>
          <t>EU Strategic Roadmap for Digitalisation and AI in Energy (juni 2026)</t>
        </is>
      </c>
      <c r="B45" s="14" t="inlineStr">
        <is>
          <t>EU-RM26</t>
        </is>
      </c>
      <c r="C45" s="14">
        <f>COUNTIF(Portfolio!$P$2:$P$500,"*"&amp;B45&amp;"*")</f>
        <v/>
      </c>
      <c r="D45" s="14">
        <f>COUNTIFS(Portfolio!$P$2:$P$500,"*"&amp;B45&amp;"*",Portfolio!$F$2:$F$500,"&lt;&gt;NL",Portfolio!$A$2:$A$500,"&lt;&gt;")</f>
        <v/>
      </c>
    </row>
    <row r="46" ht="15" customHeight="1" s="15">
      <c r="A46" s="14" t="inlineStr">
        <is>
          <t>ENTSO-E / EU DSO Entity: TSO-DSO use cases en 'Towards a Federated Approach'</t>
        </is>
      </c>
      <c r="B46" s="14" t="inlineStr">
        <is>
          <t>ENTSOE</t>
        </is>
      </c>
      <c r="C46" s="14">
        <f>COUNTIF(Portfolio!$P$2:$P$500,"*"&amp;B46&amp;"*")</f>
        <v/>
      </c>
      <c r="D46" s="14">
        <f>COUNTIFS(Portfolio!$P$2:$P$500,"*"&amp;B46&amp;"*",Portfolio!$F$2:$F$500,"&lt;&gt;NL",Portfolio!$A$2:$A$500,"&lt;&gt;")</f>
        <v/>
      </c>
    </row>
    <row r="47" ht="15" customHeight="1" s="15">
      <c r="A47" s="14" t="inlineStr">
        <is>
          <t>Common European Energy Data Space</t>
        </is>
      </c>
      <c r="B47" s="14" t="inlineStr">
        <is>
          <t>CEEDS</t>
        </is>
      </c>
      <c r="C47" s="14">
        <f>COUNTIF(Portfolio!$P$2:$P$500,"*"&amp;B47&amp;"*")</f>
        <v/>
      </c>
      <c r="D47" s="14">
        <f>COUNTIFS(Portfolio!$P$2:$P$500,"*"&amp;B47&amp;"*",Portfolio!$F$2:$F$500,"&lt;&gt;NL",Portfolio!$A$2:$A$500,"&lt;&gt;")</f>
        <v/>
      </c>
    </row>
    <row r="48" ht="15" customHeight="1" s="15">
      <c r="A48" s="14" t="inlineStr">
        <is>
          <t>Horizon 2020 / Horizon Europe (incl. BRIDGE-cluster)</t>
        </is>
      </c>
      <c r="B48" s="14" t="inlineStr">
        <is>
          <t>HORIZON</t>
        </is>
      </c>
      <c r="C48" s="14">
        <f>COUNTIF(Portfolio!$P$2:$P$500,"*"&amp;B48&amp;"*")</f>
        <v/>
      </c>
      <c r="D48" s="14">
        <f>COUNTIFS(Portfolio!$P$2:$P$500,"*"&amp;B48&amp;"*",Portfolio!$F$2:$F$500,"&lt;&gt;NL",Portfolio!$A$2:$A$500,"&lt;&gt;")</f>
        <v/>
      </c>
    </row>
    <row r="49" ht="15" customHeight="1" s="15">
      <c r="A49" s="14" t="inlineStr">
        <is>
          <t>EU Local Digital Twins (LDT CitiVERSE EDIC, LDT-toolbox, MIMs Plus)</t>
        </is>
      </c>
      <c r="B49" s="14" t="inlineStr">
        <is>
          <t>EU-LDT</t>
        </is>
      </c>
      <c r="C49" s="14">
        <f>COUNTIF(Portfolio!$P$2:$P$500,"*"&amp;B49&amp;"*")</f>
        <v/>
      </c>
      <c r="D49" s="14">
        <f>COUNTIFS(Portfolio!$P$2:$P$500,"*"&amp;B49&amp;"*",Portfolio!$F$2:$F$500,"&lt;&gt;NL",Portfolio!$A$2:$A$500,"&lt;&gt;")</f>
        <v/>
      </c>
    </row>
    <row r="50" ht="15" customHeight="1" s="15">
      <c r="A50" s="14" t="inlineStr">
        <is>
          <t>Destination Earth</t>
        </is>
      </c>
      <c r="B50" s="14" t="inlineStr">
        <is>
          <t>DESTINE</t>
        </is>
      </c>
      <c r="C50" s="14">
        <f>COUNTIF(Portfolio!$P$2:$P$500,"*"&amp;B50&amp;"*")</f>
        <v/>
      </c>
      <c r="D50" s="14">
        <f>COUNTIFS(Portfolio!$P$2:$P$500,"*"&amp;B50&amp;"*",Portfolio!$F$2:$F$500,"&lt;&gt;NL",Portfolio!$A$2:$A$500,"&lt;&gt;")</f>
        <v/>
      </c>
    </row>
    <row r="51" ht="15" customHeight="1" s="15">
      <c r="A51" s="14" t="inlineStr">
        <is>
          <t>LF Energy</t>
        </is>
      </c>
      <c r="B51" s="14" t="inlineStr">
        <is>
          <t>LFE</t>
        </is>
      </c>
      <c r="C51" s="14">
        <f>COUNTIF(Portfolio!$P$2:$P$500,"*"&amp;B51&amp;"*")</f>
        <v/>
      </c>
      <c r="D51" s="14">
        <f>COUNTIFS(Portfolio!$P$2:$P$500,"*"&amp;B51&amp;"*",Portfolio!$F$2:$F$500,"&lt;&gt;NL",Portfolio!$A$2:$A$500,"&lt;&gt;")</f>
        <v/>
      </c>
    </row>
    <row r="52" ht="15" customHeight="1" s="15">
      <c r="A52" s="14" t="inlineStr">
        <is>
          <t>Gemini Principles / UK National Digital Twin Programme</t>
        </is>
      </c>
      <c r="B52" s="14" t="inlineStr">
        <is>
          <t>GEMINI</t>
        </is>
      </c>
      <c r="C52" s="14">
        <f>COUNTIF(Portfolio!$P$2:$P$500,"*"&amp;B52&amp;"*")</f>
        <v/>
      </c>
      <c r="D52" s="14">
        <f>COUNTIFS(Portfolio!$P$2:$P$500,"*"&amp;B52&amp;"*",Portfolio!$F$2:$F$500,"&lt;&gt;NL",Portfolio!$A$2:$A$500,"&lt;&gt;")</f>
        <v/>
      </c>
    </row>
    <row r="53" ht="15" customHeight="1" s="15">
      <c r="A53" s="14" t="inlineStr">
        <is>
          <t>ISO/IEC 30173:2023 Digital twin: Concepts and terminology</t>
        </is>
      </c>
      <c r="B53" s="14" t="inlineStr">
        <is>
          <t>ISO30173</t>
        </is>
      </c>
      <c r="C53" s="14">
        <f>COUNTIF(Portfolio!$P$2:$P$500,"*"&amp;B53&amp;"*")</f>
        <v/>
      </c>
      <c r="D53" s="14">
        <f>COUNTIFS(Portfolio!$P$2:$P$500,"*"&amp;B53&amp;"*",Portfolio!$F$2:$F$500,"&lt;&gt;NL",Portfolio!$A$2:$A$500,"&lt;&gt;")</f>
        <v/>
      </c>
    </row>
    <row r="54" ht="15" customHeight="1" s="15">
      <c r="A54" s="14" t="inlineStr">
        <is>
          <t>Zonder kadercode</t>
        </is>
      </c>
      <c r="C54" s="14">
        <f>COUNTIF(Portfolio!$P$2:$P$500,"-")</f>
        <v/>
      </c>
      <c r="D54" s="14">
        <f>COUNTIFS(Portfolio!$P$2:$P$500,"-",Portfolio!$F$2:$F$500,"&lt;&gt;NL")</f>
        <v/>
      </c>
    </row>
    <row r="55"/>
    <row r="56"/>
    <row r="57" ht="15" customHeight="1" s="15">
      <c r="A57" s="27" t="inlineStr">
        <is>
          <t>5. Aantal initiatieven per land</t>
        </is>
      </c>
    </row>
    <row r="58" ht="15" customHeight="1" s="15">
      <c r="A58" s="14" t="inlineStr">
        <is>
          <t>Land</t>
        </is>
      </c>
      <c r="B58" s="14" t="inlineStr">
        <is>
          <t>Aantal</t>
        </is>
      </c>
    </row>
    <row r="59" ht="15" customHeight="1" s="15">
      <c r="A59" s="14" t="inlineStr">
        <is>
          <t>NL</t>
        </is>
      </c>
      <c r="B59" s="14">
        <f>COUNTIF(Portfolio!$G$2:$G$500,A59)</f>
        <v/>
      </c>
    </row>
    <row r="60" ht="15" customHeight="1" s="15">
      <c r="A60" s="14" t="inlineStr">
        <is>
          <t>EU</t>
        </is>
      </c>
      <c r="B60" s="14">
        <f>COUNTIF(Portfolio!$G$2:$G$500,A60)</f>
        <v/>
      </c>
    </row>
    <row r="61" ht="15" customHeight="1" s="15">
      <c r="A61" s="14" t="inlineStr">
        <is>
          <t>DE</t>
        </is>
      </c>
      <c r="B61" s="14">
        <f>COUNTIF(Portfolio!$G$2:$G$500,A61)</f>
        <v/>
      </c>
    </row>
    <row r="62" ht="15" customHeight="1" s="15">
      <c r="A62" s="14" t="inlineStr">
        <is>
          <t>FR</t>
        </is>
      </c>
      <c r="B62" s="14">
        <f>COUNTIF(Portfolio!$G$2:$G$500,A62)</f>
        <v/>
      </c>
    </row>
    <row r="63" ht="15" customHeight="1" s="15">
      <c r="A63" s="14" t="inlineStr">
        <is>
          <t>ES</t>
        </is>
      </c>
      <c r="B63" s="14">
        <f>COUNTIF(Portfolio!$G$2:$G$500,A63)</f>
        <v/>
      </c>
    </row>
    <row r="64" ht="15" customHeight="1" s="15">
      <c r="A64" s="14" t="inlineStr">
        <is>
          <t>IT</t>
        </is>
      </c>
      <c r="B64" s="14">
        <f>COUNTIF(Portfolio!$G$2:$G$500,A64)</f>
        <v/>
      </c>
    </row>
    <row r="65" ht="15" customHeight="1" s="15">
      <c r="A65" s="14" t="inlineStr">
        <is>
          <t>SE</t>
        </is>
      </c>
      <c r="B65" s="14">
        <f>COUNTIF(Portfolio!$G$2:$G$500,A65)</f>
        <v/>
      </c>
    </row>
    <row r="66" ht="15" customHeight="1" s="15">
      <c r="A66" s="14" t="inlineStr">
        <is>
          <t>NO</t>
        </is>
      </c>
      <c r="B66" s="14">
        <f>COUNTIF(Portfolio!$G$2:$G$500,A66)</f>
        <v/>
      </c>
    </row>
    <row r="67" ht="15" customHeight="1" s="15">
      <c r="A67" s="14" t="inlineStr">
        <is>
          <t>IE</t>
        </is>
      </c>
      <c r="B67" s="14">
        <f>COUNTIF(Portfolio!$G$2:$G$500,A67)</f>
        <v/>
      </c>
    </row>
    <row r="68" ht="15" customHeight="1" s="15">
      <c r="A68" s="14" t="inlineStr">
        <is>
          <t>DK</t>
        </is>
      </c>
      <c r="B68" s="14">
        <f>COUNTIF(Portfolio!$G$2:$G$500,A68)</f>
        <v/>
      </c>
    </row>
    <row r="69" ht="15" customHeight="1" s="15">
      <c r="A69" s="14" t="inlineStr">
        <is>
          <t>EE</t>
        </is>
      </c>
      <c r="B69" s="14">
        <f>COUNTIF(Portfolio!$G$2:$G$500,A69)</f>
        <v/>
      </c>
    </row>
    <row r="70" ht="15" customHeight="1" s="15">
      <c r="A70" s="14" t="inlineStr">
        <is>
          <t>FI</t>
        </is>
      </c>
      <c r="B70" s="14">
        <f>COUNTIF(Portfolio!$G$2:$G$500,A70)</f>
        <v/>
      </c>
    </row>
    <row r="71" ht="15" customHeight="1" s="15">
      <c r="A71" s="14" t="inlineStr">
        <is>
          <t>GB</t>
        </is>
      </c>
      <c r="B71" s="14">
        <f>COUNTIF(Portfolio!$G$2:$G$500,A71)</f>
        <v/>
      </c>
    </row>
    <row r="72" ht="15" customHeight="1" s="15">
      <c r="A72" s="14" t="inlineStr">
        <is>
          <t>US</t>
        </is>
      </c>
      <c r="B72" s="14">
        <f>COUNTIF(Portfolio!$G$2:$G$500,A72)</f>
        <v/>
      </c>
    </row>
    <row r="73" ht="15" customHeight="1" s="15">
      <c r="A73" s="14" t="inlineStr">
        <is>
          <t>AU</t>
        </is>
      </c>
      <c r="B73" s="14">
        <f>COUNTIF(Portfolio!$G$2:$G$500,A73)</f>
        <v/>
      </c>
    </row>
    <row r="74" ht="15" customHeight="1" s="15">
      <c r="A74" s="14" t="inlineStr">
        <is>
          <t>JP</t>
        </is>
      </c>
      <c r="B74" s="14">
        <f>COUNTIF(Portfolio!$G$2:$G$500,A74)</f>
        <v/>
      </c>
    </row>
    <row r="75" ht="15" customHeight="1" s="15">
      <c r="A75" s="14" t="inlineStr">
        <is>
          <t>NZ</t>
        </is>
      </c>
      <c r="B75" s="14">
        <f>COUNTIF(Portfolio!$G$2:$G$500,A75)</f>
        <v/>
      </c>
    </row>
    <row r="76" ht="15" customHeight="1" s="15">
      <c r="A76" s="14" t="inlineStr">
        <is>
          <t>INT</t>
        </is>
      </c>
      <c r="B76" s="14">
        <f>COUNTIF(Portfolio!$G$2:$G$500,A76)</f>
        <v/>
      </c>
    </row>
    <row r="77" ht="15" customHeight="1" s="15">
      <c r="A77" s="14" t="inlineStr">
        <is>
          <t>Totaal</t>
        </is>
      </c>
      <c r="B77" s="14">
        <f>SUM(B59:B76)</f>
        <v/>
      </c>
    </row>
    <row r="78"/>
    <row r="79"/>
    <row r="80" ht="15" customHeight="1" s="15">
      <c r="A80" s="27" t="inlineStr">
        <is>
          <t>6. Aantal initiatieven per focus en gebied</t>
        </is>
      </c>
    </row>
    <row r="81" ht="15" customHeight="1" s="15">
      <c r="A81" s="14" t="inlineStr">
        <is>
          <t>Focus \ Gebied</t>
        </is>
      </c>
      <c r="B81" s="14" t="inlineStr">
        <is>
          <t>NL</t>
        </is>
      </c>
      <c r="C81" s="14" t="inlineStr">
        <is>
          <t>EU-lidstaat</t>
        </is>
      </c>
      <c r="D81" s="14" t="inlineStr">
        <is>
          <t>Europees</t>
        </is>
      </c>
      <c r="E81" s="14" t="inlineStr">
        <is>
          <t>Internationaal</t>
        </is>
      </c>
      <c r="F81" s="14" t="inlineStr">
        <is>
          <t>Totaal</t>
        </is>
      </c>
    </row>
    <row r="82" ht="15" customHeight="1" s="15">
      <c r="A82" s="14" t="inlineStr">
        <is>
          <t>Energie</t>
        </is>
      </c>
      <c r="B82" s="14">
        <f>COUNTIFS(Portfolio!$E$2:$E$500,$A82,Portfolio!$F$2:$F$500,B$81)</f>
        <v/>
      </c>
      <c r="C82" s="14">
        <f>COUNTIFS(Portfolio!$E$2:$E$500,$A82,Portfolio!$F$2:$F$500,C$81)</f>
        <v/>
      </c>
      <c r="D82" s="14">
        <f>COUNTIFS(Portfolio!$E$2:$E$500,$A82,Portfolio!$F$2:$F$500,D$81)</f>
        <v/>
      </c>
      <c r="E82" s="14">
        <f>COUNTIFS(Portfolio!$E$2:$E$500,$A82,Portfolio!$F$2:$F$500,E$81)</f>
        <v/>
      </c>
      <c r="F82" s="14">
        <f>SUM(B82:E82)</f>
        <v/>
      </c>
    </row>
    <row r="83" ht="15" customHeight="1" s="15">
      <c r="A83" s="14" t="inlineStr">
        <is>
          <t>Energie + GO</t>
        </is>
      </c>
      <c r="B83" s="14">
        <f>COUNTIFS(Portfolio!$E$2:$E$500,$A83,Portfolio!$F$2:$F$500,B$81)</f>
        <v/>
      </c>
      <c r="C83" s="14">
        <f>COUNTIFS(Portfolio!$E$2:$E$500,$A83,Portfolio!$F$2:$F$500,C$81)</f>
        <v/>
      </c>
      <c r="D83" s="14">
        <f>COUNTIFS(Portfolio!$E$2:$E$500,$A83,Portfolio!$F$2:$F$500,D$81)</f>
        <v/>
      </c>
      <c r="E83" s="14">
        <f>COUNTIFS(Portfolio!$E$2:$E$500,$A83,Portfolio!$F$2:$F$500,E$81)</f>
        <v/>
      </c>
      <c r="F83" s="14">
        <f>SUM(B83:E83)</f>
        <v/>
      </c>
    </row>
    <row r="84" ht="15" customHeight="1" s="15">
      <c r="A84" s="14" t="inlineStr">
        <is>
          <t>GO</t>
        </is>
      </c>
      <c r="B84" s="14">
        <f>COUNTIFS(Portfolio!$E$2:$E$500,$A84,Portfolio!$F$2:$F$500,B$81)</f>
        <v/>
      </c>
      <c r="C84" s="14">
        <f>COUNTIFS(Portfolio!$E$2:$E$500,$A84,Portfolio!$F$2:$F$500,C$81)</f>
        <v/>
      </c>
      <c r="D84" s="14">
        <f>COUNTIFS(Portfolio!$E$2:$E$500,$A84,Portfolio!$F$2:$F$500,D$81)</f>
        <v/>
      </c>
      <c r="E84" s="14">
        <f>COUNTIFS(Portfolio!$E$2:$E$500,$A84,Portfolio!$F$2:$F$500,E$81)</f>
        <v/>
      </c>
      <c r="F84" s="14">
        <f>SUM(B84:E84)</f>
        <v/>
      </c>
    </row>
    <row r="85" ht="15" customHeight="1" s="15">
      <c r="A85" s="14" t="inlineStr">
        <is>
          <t>Overig</t>
        </is>
      </c>
      <c r="B85" s="14">
        <f>COUNTIFS(Portfolio!$E$2:$E$500,$A85,Portfolio!$F$2:$F$500,B$81)</f>
        <v/>
      </c>
      <c r="C85" s="14">
        <f>COUNTIFS(Portfolio!$E$2:$E$500,$A85,Portfolio!$F$2:$F$500,C$81)</f>
        <v/>
      </c>
      <c r="D85" s="14">
        <f>COUNTIFS(Portfolio!$E$2:$E$500,$A85,Portfolio!$F$2:$F$500,D$81)</f>
        <v/>
      </c>
      <c r="E85" s="14">
        <f>COUNTIFS(Portfolio!$E$2:$E$500,$A85,Portfolio!$F$2:$F$500,E$81)</f>
        <v/>
      </c>
      <c r="F85" s="14">
        <f>SUM(B85:E85)</f>
        <v/>
      </c>
    </row>
    <row r="86" ht="15" customHeight="1" s="15">
      <c r="A86" s="14" t="inlineStr">
        <is>
          <t>Totaal</t>
        </is>
      </c>
      <c r="B86" s="14">
        <f>SUM(B82:B85)</f>
        <v/>
      </c>
      <c r="C86" s="14">
        <f>SUM(C82:C85)</f>
        <v/>
      </c>
      <c r="D86" s="14">
        <f>SUM(D82:D85)</f>
        <v/>
      </c>
      <c r="E86" s="14">
        <f>SUM(E82:E85)</f>
        <v/>
      </c>
      <c r="F86" s="14">
        <f>SUM(F82:F85)</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8.xml><?xml version="1.0" encoding="utf-8"?>
<worksheet xmlns="http://schemas.openxmlformats.org/spreadsheetml/2006/main">
  <sheetPr filterMode="0">
    <outlinePr summaryBelow="1" summaryRight="1"/>
    <pageSetUpPr fitToPage="0"/>
  </sheetPr>
  <dimension ref="A1:D39"/>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2" customWidth="1" style="14" min="1" max="1"/>
    <col width="8" customWidth="1" style="14" min="2" max="2"/>
    <col width="32" customWidth="1" style="14" min="3" max="3"/>
    <col width="60" customWidth="1" style="14" min="4" max="4"/>
  </cols>
  <sheetData>
    <row r="1" ht="31.5" customHeight="1" s="15">
      <c r="A1" s="21" t="inlineStr">
        <is>
          <t>Dimensie</t>
        </is>
      </c>
      <c r="B1" s="21" t="inlineStr">
        <is>
          <t>Code</t>
        </is>
      </c>
      <c r="C1" s="21" t="inlineStr">
        <is>
          <t>Waarde</t>
        </is>
      </c>
      <c r="D1" s="21" t="inlineStr">
        <is>
          <t>Toelichting</t>
        </is>
      </c>
    </row>
    <row r="2" ht="15" customHeight="1" s="15">
      <c r="A2" s="20" t="inlineStr">
        <is>
          <t>Rol in ecosysteem</t>
        </is>
      </c>
      <c r="B2" s="20" t="n"/>
      <c r="C2" s="20" t="inlineStr">
        <is>
          <t>Kader</t>
        </is>
      </c>
      <c r="D2" s="20" t="n"/>
    </row>
    <row r="3" ht="15" customHeight="1" s="15">
      <c r="A3" s="20" t="inlineStr">
        <is>
          <t>Rol in ecosysteem</t>
        </is>
      </c>
      <c r="B3" s="20" t="n"/>
      <c r="C3" s="20" t="inlineStr">
        <is>
          <t>Faciliteit/R&amp;D</t>
        </is>
      </c>
      <c r="D3" s="20" t="n"/>
    </row>
    <row r="4" ht="15" customHeight="1" s="15">
      <c r="A4" s="20" t="inlineStr">
        <is>
          <t>Rol in ecosysteem</t>
        </is>
      </c>
      <c r="B4" s="20" t="n"/>
      <c r="C4" s="20" t="inlineStr">
        <is>
          <t>Twin-instantie</t>
        </is>
      </c>
      <c r="D4" s="20" t="n"/>
    </row>
    <row r="5" ht="15" customHeight="1" s="15">
      <c r="A5" s="20" t="inlineStr">
        <is>
          <t>Rol in ecosysteem</t>
        </is>
      </c>
      <c r="B5" s="20" t="n"/>
      <c r="C5" s="20" t="inlineStr">
        <is>
          <t>Bouwsteen</t>
        </is>
      </c>
      <c r="D5" s="20" t="n"/>
    </row>
    <row r="6" ht="15" customHeight="1" s="15">
      <c r="A6" s="20" t="inlineStr">
        <is>
          <t>Rol in ecosysteem</t>
        </is>
      </c>
      <c r="B6" s="20" t="n"/>
      <c r="C6" s="20" t="inlineStr">
        <is>
          <t>Data-infrastructuur</t>
        </is>
      </c>
      <c r="D6" s="20" t="n"/>
    </row>
    <row r="7" ht="15" customHeight="1" s="15">
      <c r="A7" s="20" t="inlineStr">
        <is>
          <t>Rol in ecosysteem</t>
        </is>
      </c>
      <c r="B7" s="20" t="n"/>
      <c r="C7" s="20" t="inlineStr">
        <is>
          <t>Samenwerking/kennis</t>
        </is>
      </c>
      <c r="D7" s="20" t="n"/>
    </row>
    <row r="8" ht="15" customHeight="1" s="15">
      <c r="A8" s="20" t="inlineStr">
        <is>
          <t>Functie</t>
        </is>
      </c>
      <c r="B8" s="20" t="inlineStr">
        <is>
          <t>F1</t>
        </is>
      </c>
      <c r="C8" s="20" t="inlineStr">
        <is>
          <t>Inzicht &amp; monitoring</t>
        </is>
      </c>
      <c r="D8" s="20" t="inlineStr">
        <is>
          <t>Eerste functie = primair</t>
        </is>
      </c>
    </row>
    <row r="9" ht="15" customHeight="1" s="15">
      <c r="A9" s="20" t="inlineStr">
        <is>
          <t>Functie</t>
        </is>
      </c>
      <c r="B9" s="20" t="inlineStr">
        <is>
          <t>F2</t>
        </is>
      </c>
      <c r="C9" s="20" t="inlineStr">
        <is>
          <t>Voorspellen</t>
        </is>
      </c>
      <c r="D9" s="20" t="inlineStr">
        <is>
          <t>Eerste functie = primair</t>
        </is>
      </c>
    </row>
    <row r="10" ht="15" customHeight="1" s="15">
      <c r="A10" s="20" t="inlineStr">
        <is>
          <t>Functie</t>
        </is>
      </c>
      <c r="B10" s="20" t="inlineStr">
        <is>
          <t>F3</t>
        </is>
      </c>
      <c r="C10" s="20" t="inlineStr">
        <is>
          <t>Scenario &amp; planning</t>
        </is>
      </c>
      <c r="D10" s="20" t="inlineStr">
        <is>
          <t>Eerste functie = primair</t>
        </is>
      </c>
    </row>
    <row r="11" ht="15" customHeight="1" s="15">
      <c r="A11" s="20" t="inlineStr">
        <is>
          <t>Functie</t>
        </is>
      </c>
      <c r="B11" s="20" t="inlineStr">
        <is>
          <t>F4</t>
        </is>
      </c>
      <c r="C11" s="20" t="inlineStr">
        <is>
          <t>Sturing &amp; optimalisatie</t>
        </is>
      </c>
      <c r="D11" s="20" t="inlineStr">
        <is>
          <t>Eerste functie = primair</t>
        </is>
      </c>
    </row>
    <row r="12" ht="15" customHeight="1" s="15">
      <c r="A12" s="20" t="inlineStr">
        <is>
          <t>Functie</t>
        </is>
      </c>
      <c r="B12" s="20" t="inlineStr">
        <is>
          <t>F5</t>
        </is>
      </c>
      <c r="C12" s="20" t="inlineStr">
        <is>
          <t>Ontwerp &amp; engineering</t>
        </is>
      </c>
      <c r="D12" s="20" t="inlineStr">
        <is>
          <t>Eerste functie = primair</t>
        </is>
      </c>
    </row>
    <row r="13" ht="15" customHeight="1" s="15">
      <c r="A13" s="20" t="inlineStr">
        <is>
          <t>Functie</t>
        </is>
      </c>
      <c r="B13" s="20" t="inlineStr">
        <is>
          <t>F6</t>
        </is>
      </c>
      <c r="C13" s="20" t="inlineStr">
        <is>
          <t>Gezamenlijke besluitvorming</t>
        </is>
      </c>
      <c r="D13" s="20" t="inlineStr">
        <is>
          <t>Eerste functie = primair</t>
        </is>
      </c>
    </row>
    <row r="14" ht="15" customHeight="1" s="15">
      <c r="A14" s="20" t="inlineStr">
        <is>
          <t>Functie</t>
        </is>
      </c>
      <c r="B14" s="20" t="inlineStr">
        <is>
          <t>F7</t>
        </is>
      </c>
      <c r="C14" s="20" t="inlineStr">
        <is>
          <t>Onderzoek &amp; training</t>
        </is>
      </c>
      <c r="D14" s="20" t="inlineStr">
        <is>
          <t>Eerste functie = primair</t>
        </is>
      </c>
    </row>
    <row r="15" ht="15" customHeight="1" s="15">
      <c r="A15" s="20" t="inlineStr">
        <is>
          <t>Schaalniveau</t>
        </is>
      </c>
      <c r="B15" s="20" t="inlineStr">
        <is>
          <t>S1</t>
        </is>
      </c>
      <c r="C15" s="20" t="inlineStr">
        <is>
          <t>Asset / installatie</t>
        </is>
      </c>
      <c r="D15" s="20" t="n"/>
    </row>
    <row r="16" ht="15" customHeight="1" s="15">
      <c r="A16" s="20" t="inlineStr">
        <is>
          <t>Schaalniveau</t>
        </is>
      </c>
      <c r="B16" s="20" t="inlineStr">
        <is>
          <t>S2</t>
        </is>
      </c>
      <c r="C16" s="20" t="inlineStr">
        <is>
          <t>Gebouw / site</t>
        </is>
      </c>
      <c r="D16" s="20" t="n"/>
    </row>
    <row r="17" ht="15" customHeight="1" s="15">
      <c r="A17" s="20" t="inlineStr">
        <is>
          <t>Schaalniveau</t>
        </is>
      </c>
      <c r="B17" s="20" t="inlineStr">
        <is>
          <t>S3</t>
        </is>
      </c>
      <c r="C17" s="20" t="inlineStr">
        <is>
          <t>Wijk / bedrijventerrein / hub</t>
        </is>
      </c>
      <c r="D17" s="20" t="n"/>
    </row>
    <row r="18" ht="15" customHeight="1" s="15">
      <c r="A18" s="20" t="inlineStr">
        <is>
          <t>Schaalniveau</t>
        </is>
      </c>
      <c r="B18" s="20" t="inlineStr">
        <is>
          <t>S4</t>
        </is>
      </c>
      <c r="C18" s="20" t="inlineStr">
        <is>
          <t>Gemeente / regio</t>
        </is>
      </c>
      <c r="D18" s="20" t="n"/>
    </row>
    <row r="19" ht="15" customHeight="1" s="15">
      <c r="A19" s="20" t="inlineStr">
        <is>
          <t>Schaalniveau</t>
        </is>
      </c>
      <c r="B19" s="20" t="inlineStr">
        <is>
          <t>S5</t>
        </is>
      </c>
      <c r="C19" s="20" t="inlineStr">
        <is>
          <t>Net / nationaal systeem</t>
        </is>
      </c>
      <c r="D19" s="20" t="n"/>
    </row>
    <row r="20" ht="15" customHeight="1" s="15">
      <c r="A20" s="20" t="inlineStr">
        <is>
          <t>Schaalniveau</t>
        </is>
      </c>
      <c r="B20" s="20" t="inlineStr">
        <is>
          <t>S6</t>
        </is>
      </c>
      <c r="C20" s="20" t="inlineStr">
        <is>
          <t>Europees</t>
        </is>
      </c>
      <c r="D20" s="20" t="n"/>
    </row>
    <row r="21" ht="15" customHeight="1" s="15">
      <c r="A21" s="20" t="inlineStr">
        <is>
          <t>Twinniveau</t>
        </is>
      </c>
      <c r="B21" s="20" t="n"/>
      <c r="C21" s="20" t="inlineStr">
        <is>
          <t>Model</t>
        </is>
      </c>
      <c r="D21" s="20" t="inlineStr">
        <is>
          <t>Geen automatische dataverbinding</t>
        </is>
      </c>
    </row>
    <row r="22" ht="15" customHeight="1" s="15">
      <c r="A22" s="20" t="inlineStr">
        <is>
          <t>Twinniveau</t>
        </is>
      </c>
      <c r="B22" s="20" t="n"/>
      <c r="C22" s="20" t="inlineStr">
        <is>
          <t>Schaduw</t>
        </is>
      </c>
      <c r="D22" s="20" t="inlineStr">
        <is>
          <t>Automatisch fysiek → digitaal</t>
        </is>
      </c>
    </row>
    <row r="23" ht="15" customHeight="1" s="15">
      <c r="A23" s="20" t="inlineStr">
        <is>
          <t>Twinniveau</t>
        </is>
      </c>
      <c r="B23" s="20" t="n"/>
      <c r="C23" s="20" t="inlineStr">
        <is>
          <t>Tweeling</t>
        </is>
      </c>
      <c r="D23" s="20" t="inlineStr">
        <is>
          <t>Automatisch in beide richtingen</t>
        </is>
      </c>
    </row>
    <row r="24" ht="15" customHeight="1" s="15">
      <c r="A24" s="20" t="inlineStr">
        <is>
          <t>Volwassenheid</t>
        </is>
      </c>
      <c r="B24" s="20" t="inlineStr">
        <is>
          <t>0</t>
        </is>
      </c>
      <c r="C24" s="20" t="inlineStr">
        <is>
          <t>n.v.t.</t>
        </is>
      </c>
      <c r="D24" s="20" t="n"/>
    </row>
    <row r="25" ht="15" customHeight="1" s="15">
      <c r="A25" s="20" t="inlineStr">
        <is>
          <t>Volwassenheid</t>
        </is>
      </c>
      <c r="B25" s="20" t="inlineStr">
        <is>
          <t>1</t>
        </is>
      </c>
      <c r="C25" s="20" t="inlineStr">
        <is>
          <t>1 Verkenning</t>
        </is>
      </c>
      <c r="D25" s="20" t="n"/>
    </row>
    <row r="26" ht="15" customHeight="1" s="15">
      <c r="A26" s="20" t="inlineStr">
        <is>
          <t>Volwassenheid</t>
        </is>
      </c>
      <c r="B26" s="20" t="inlineStr">
        <is>
          <t>2</t>
        </is>
      </c>
      <c r="C26" s="20" t="inlineStr">
        <is>
          <t>2 Pilot/PoC</t>
        </is>
      </c>
      <c r="D26" s="20" t="n"/>
    </row>
    <row r="27" ht="15" customHeight="1" s="15">
      <c r="A27" s="20" t="inlineStr">
        <is>
          <t>Volwassenheid</t>
        </is>
      </c>
      <c r="B27" s="20" t="inlineStr">
        <is>
          <t>3</t>
        </is>
      </c>
      <c r="C27" s="20" t="inlineStr">
        <is>
          <t>3 Demonstratie/lab</t>
        </is>
      </c>
      <c r="D27" s="20" t="n"/>
    </row>
    <row r="28" ht="15" customHeight="1" s="15">
      <c r="A28" s="20" t="inlineStr">
        <is>
          <t>Volwassenheid</t>
        </is>
      </c>
      <c r="B28" s="20" t="inlineStr">
        <is>
          <t>4</t>
        </is>
      </c>
      <c r="C28" s="20" t="inlineStr">
        <is>
          <t>4 Operationeel</t>
        </is>
      </c>
      <c r="D28" s="20" t="n"/>
    </row>
    <row r="29" ht="15" customHeight="1" s="15">
      <c r="A29" s="20" t="inlineStr">
        <is>
          <t>Volwassenheid</t>
        </is>
      </c>
      <c r="B29" s="20" t="inlineStr">
        <is>
          <t>5</t>
        </is>
      </c>
      <c r="C29" s="20" t="inlineStr">
        <is>
          <t>5 Opgeschaald</t>
        </is>
      </c>
      <c r="D29" s="20" t="n"/>
    </row>
    <row r="30" ht="28.35" customHeight="1" s="15">
      <c r="A30" s="20" t="inlineStr">
        <is>
          <t>Focus</t>
        </is>
      </c>
      <c r="B30" s="20" t="n"/>
      <c r="C30" s="20" t="inlineStr">
        <is>
          <t>Energie</t>
        </is>
      </c>
      <c r="D30" s="20" t="inlineStr">
        <is>
          <t>Richt zich op het energiesysteem zelf: netten, opwek, opslag, markt, warmte, gas/H2 of energiedata</t>
        </is>
      </c>
    </row>
    <row r="31" ht="28.35" customHeight="1" s="15">
      <c r="A31" s="20" t="inlineStr">
        <is>
          <t>Focus</t>
        </is>
      </c>
      <c r="B31" s="20" t="n"/>
      <c r="C31" s="20" t="inlineStr">
        <is>
          <t>Energie + GO</t>
        </is>
      </c>
      <c r="D31" s="20" t="inlineStr">
        <is>
          <t>Koppelt energie expliciet aan gebouwen, wijken of ruimtelijke planning</t>
        </is>
      </c>
    </row>
    <row r="32" ht="28.35" customHeight="1" s="15">
      <c r="A32" s="20" t="inlineStr">
        <is>
          <t>Focus</t>
        </is>
      </c>
      <c r="B32" s="20" t="n"/>
      <c r="C32" s="20" t="inlineStr">
        <is>
          <t>GO</t>
        </is>
      </c>
      <c r="D32" s="20" t="inlineStr">
        <is>
          <t>Gebouwde omgeving of ruimtelijke planning zonder expliciete energiefunctie</t>
        </is>
      </c>
    </row>
    <row r="33" ht="28.35" customHeight="1" s="15">
      <c r="A33" s="20" t="inlineStr">
        <is>
          <t>Focus</t>
        </is>
      </c>
      <c r="B33" s="20" t="n"/>
      <c r="C33" s="20" t="inlineStr">
        <is>
          <t>Overig</t>
        </is>
      </c>
      <c r="D33" s="20" t="inlineStr">
        <is>
          <t>Ander domein (water, mobiliteit, veiligheid, infra, klimaat) of generiek / sectoroverstijgend</t>
        </is>
      </c>
    </row>
    <row r="34" ht="15" customHeight="1" s="15">
      <c r="A34" s="20" t="inlineStr">
        <is>
          <t>Gebied</t>
        </is>
      </c>
      <c r="B34" s="20" t="n"/>
      <c r="C34" s="20" t="inlineStr">
        <is>
          <t>NL</t>
        </is>
      </c>
      <c r="D34" s="20" t="inlineStr">
        <is>
          <t>Initiatief in Nederland</t>
        </is>
      </c>
    </row>
    <row r="35" ht="15" customHeight="1" s="15">
      <c r="A35" s="20" t="inlineStr">
        <is>
          <t>Gebied</t>
        </is>
      </c>
      <c r="B35" s="20" t="n"/>
      <c r="C35" s="20" t="inlineStr">
        <is>
          <t>EU-lidstaat</t>
        </is>
      </c>
      <c r="D35" s="20" t="inlineStr">
        <is>
          <t>Initiatief in een andere EU/EER-lidstaat (land in kolom Land)</t>
        </is>
      </c>
    </row>
    <row r="36" ht="15" customHeight="1" s="15">
      <c r="A36" s="20" t="inlineStr">
        <is>
          <t>Gebied</t>
        </is>
      </c>
      <c r="B36" s="20" t="n"/>
      <c r="C36" s="20" t="inlineStr">
        <is>
          <t>Europees</t>
        </is>
      </c>
      <c r="D36" s="20" t="inlineStr">
        <is>
          <t>EU-breed programma, project of kader</t>
        </is>
      </c>
    </row>
    <row r="37" ht="15" customHeight="1" s="15">
      <c r="A37" s="20" t="inlineStr">
        <is>
          <t>Gebied</t>
        </is>
      </c>
      <c r="B37" s="20" t="n"/>
      <c r="C37" s="20" t="inlineStr">
        <is>
          <t>Internationaal</t>
        </is>
      </c>
      <c r="D37" s="20" t="inlineStr">
        <is>
          <t>VK, VS, Australië, Japan, Nieuw-Zeeland of mondiaal</t>
        </is>
      </c>
    </row>
    <row r="38" ht="15" customHeight="1" s="15">
      <c r="A38" s="20" t="inlineStr">
        <is>
          <t>Kadercodes</t>
        </is>
      </c>
      <c r="B38" s="20" t="n"/>
      <c r="C38" s="20" t="inlineStr">
        <is>
          <t>zie tabblad Kaders</t>
        </is>
      </c>
      <c r="D38" s="20" t="inlineStr">
        <is>
          <t>Meerdere codes gescheiden door ;</t>
        </is>
      </c>
    </row>
    <row r="39" ht="15" customHeight="1" s="15">
      <c r="A39" s="20" t="inlineStr">
        <is>
          <t>Bouwsteencodes</t>
        </is>
      </c>
      <c r="B39" s="20" t="n"/>
      <c r="C39" s="20" t="inlineStr">
        <is>
          <t>zie tabblad Bouwstenen</t>
        </is>
      </c>
      <c r="D39" s="20" t="inlineStr">
        <is>
          <t>Meerdere codes gescheiden door ;</t>
        </is>
      </c>
    </row>
  </sheetData>
  <autoFilter ref="A1:D3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9.xml><?xml version="1.0" encoding="utf-8"?>
<worksheet xmlns="http://schemas.openxmlformats.org/spreadsheetml/2006/main">
  <sheetPr filterMode="0">
    <outlinePr summaryBelow="1" summaryRight="1"/>
    <pageSetUpPr fitToPage="0"/>
  </sheetPr>
  <dimension ref="A1:G71"/>
  <sheetViews>
    <sheetView showFormulas="0" showGridLines="1" showRowColHeaders="1" showZeros="1" rightToLeft="0" tabSelected="0"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zeroHeight="0" outlineLevelRow="0"/>
  <cols>
    <col width="34" customWidth="1" style="14" min="1" max="1"/>
    <col width="20" customWidth="1" style="14" min="2" max="3"/>
    <col width="40" customWidth="1" style="14" min="4" max="4"/>
    <col width="34" customWidth="1" style="14" min="5" max="5"/>
    <col width="50" customWidth="1" style="14" min="6" max="6"/>
    <col width="10" customWidth="1" style="14" min="7" max="7"/>
  </cols>
  <sheetData>
    <row r="1" ht="31.5" customHeight="1" s="15">
      <c r="A1" s="21" t="inlineStr">
        <is>
          <t>Aanbieder</t>
        </is>
      </c>
      <c r="B1" s="21" t="inlineStr">
        <is>
          <t>Laag</t>
        </is>
      </c>
      <c r="C1" s="21" t="inlineStr">
        <is>
          <t>Domein</t>
        </is>
      </c>
      <c r="D1" s="21" t="inlineStr">
        <is>
          <t>Product / aanpak</t>
        </is>
      </c>
      <c r="E1" s="21" t="inlineStr">
        <is>
          <t>Voorbeelden NL</t>
        </is>
      </c>
      <c r="F1" s="21" t="inlineStr">
        <is>
          <t>Bron</t>
        </is>
      </c>
      <c r="G1" s="21" t="inlineStr">
        <is>
          <t>Opgenomen in versie</t>
        </is>
      </c>
    </row>
    <row r="2" ht="28.35" customHeight="1" s="15">
      <c r="A2" s="20" t="inlineStr">
        <is>
          <t>Future Insight</t>
        </is>
      </c>
      <c r="B2" s="20" t="inlineStr">
        <is>
          <t>Platform + 3D</t>
        </is>
      </c>
      <c r="C2" s="20" t="inlineStr">
        <is>
          <t>GO</t>
        </is>
      </c>
      <c r="D2" s="20" t="inlineStr">
        <is>
          <t>Clearly.Hub, Clearly.3D-City, Clearly.BIM</t>
        </is>
      </c>
      <c r="E2" s="20" t="inlineStr">
        <is>
          <t>OUP Rotterdam; Groningen, Den Haag, Amersfoort; TenneT</t>
        </is>
      </c>
      <c r="F2" s="20" t="inlineStr">
        <is>
          <t>https://www.futureinsight.nl/</t>
        </is>
      </c>
      <c r="G2" s="20" t="inlineStr">
        <is>
          <t>v4 of eerder</t>
        </is>
      </c>
    </row>
    <row r="3" ht="28.35" customHeight="1" s="15">
      <c r="A3" s="20" t="inlineStr">
        <is>
          <t>Argaleo</t>
        </is>
      </c>
      <c r="B3" s="20" t="inlineStr">
        <is>
          <t>Platform + 3D</t>
        </is>
      </c>
      <c r="C3" s="20" t="inlineStr">
        <is>
          <t>GO, energie</t>
        </is>
      </c>
      <c r="D3" s="20" t="inlineStr">
        <is>
          <t>DigiTwin-platform</t>
        </is>
      </c>
      <c r="E3" s="20" t="inlineStr">
        <is>
          <t>TU Delft campusnet</t>
        </is>
      </c>
      <c r="F3" s="20" t="inlineStr">
        <is>
          <t>https://www.argaleo.com/en/digitwin-en/</t>
        </is>
      </c>
      <c r="G3" s="20" t="inlineStr">
        <is>
          <t>v4 of eerder</t>
        </is>
      </c>
    </row>
    <row r="4" ht="28.35" customHeight="1" s="15">
      <c r="A4" s="20" t="inlineStr">
        <is>
          <t>Esri Nederland</t>
        </is>
      </c>
      <c r="B4" s="20" t="inlineStr">
        <is>
          <t>Platform + GIS</t>
        </is>
      </c>
      <c r="C4" s="20" t="inlineStr">
        <is>
          <t>GO, energie</t>
        </is>
      </c>
      <c r="D4" s="20" t="inlineStr">
        <is>
          <t>Living Digital Twin (ArcGIS)</t>
        </is>
      </c>
      <c r="E4" s="20" t="inlineStr">
        <is>
          <t>Deventer x Enexis; prov. Flevoland</t>
        </is>
      </c>
      <c r="F4" s="20" t="inlineStr">
        <is>
          <t>https://magazine.esri.nl/esri-magazine-3-2025/netcongestie-te-lijf-met-de-juiste-data</t>
        </is>
      </c>
      <c r="G4" s="20" t="inlineStr">
        <is>
          <t>v4 of eerder</t>
        </is>
      </c>
    </row>
    <row r="5" ht="28.35" customHeight="1" s="15">
      <c r="A5" s="20" t="inlineStr">
        <is>
          <t>Hexagon / IMAGEM</t>
        </is>
      </c>
      <c r="B5" s="20" t="inlineStr">
        <is>
          <t>Platform + 3D</t>
        </is>
      </c>
      <c r="C5" s="20" t="inlineStr">
        <is>
          <t>GO</t>
        </is>
      </c>
      <c r="D5" s="20" t="inlineStr">
        <is>
          <t>Stedelijke twin</t>
        </is>
      </c>
      <c r="E5" s="20" t="inlineStr">
        <is>
          <t>Almere</t>
        </is>
      </c>
      <c r="F5" s="20" t="inlineStr">
        <is>
          <t>Projectdocument DMI Flevoland</t>
        </is>
      </c>
      <c r="G5" s="20" t="inlineStr">
        <is>
          <t>v4 of eerder</t>
        </is>
      </c>
    </row>
    <row r="6" ht="28.35" customHeight="1" s="15">
      <c r="A6" s="20" t="inlineStr">
        <is>
          <t>Netherlands3D (open source)</t>
        </is>
      </c>
      <c r="B6" s="20" t="inlineStr">
        <is>
          <t>Framework</t>
        </is>
      </c>
      <c r="C6" s="20" t="inlineStr">
        <is>
          <t>GO</t>
        </is>
      </c>
      <c r="D6" s="20" t="inlineStr">
        <is>
          <t>Open-source twinframework</t>
        </is>
      </c>
      <c r="E6" s="20" t="inlineStr">
        <is>
          <t>Amsterdam, Utrecht, Flevoland</t>
        </is>
      </c>
      <c r="F6" s="20" t="inlineStr">
        <is>
          <t>https://netherlands3d.eu/</t>
        </is>
      </c>
      <c r="G6" s="20" t="inlineStr">
        <is>
          <t>v4 of eerder</t>
        </is>
      </c>
    </row>
    <row r="7" ht="28.35" customHeight="1" s="15">
      <c r="A7" s="20" t="inlineStr">
        <is>
          <t>Tygron</t>
        </is>
      </c>
      <c r="B7" s="20" t="inlineStr">
        <is>
          <t>Simulatie</t>
        </is>
      </c>
      <c r="C7" s="20" t="inlineStr">
        <is>
          <t>GO, water, klimaat</t>
        </is>
      </c>
      <c r="D7" s="20" t="inlineStr">
        <is>
          <t>Rekenplatform</t>
        </is>
      </c>
      <c r="E7" s="20" t="inlineStr">
        <is>
          <t>Gemeenten, adviesbureaus</t>
        </is>
      </c>
      <c r="F7" s="20" t="inlineStr">
        <is>
          <t>https://www.tygron.com/en/digital-twin/</t>
        </is>
      </c>
      <c r="G7" s="20" t="inlineStr">
        <is>
          <t>v4 of eerder</t>
        </is>
      </c>
    </row>
    <row r="8" ht="28.35" customHeight="1" s="15">
      <c r="A8" s="20" t="inlineStr">
        <is>
          <t>Scenexus</t>
        </is>
      </c>
      <c r="B8" s="20" t="inlineStr">
        <is>
          <t>Simulatie</t>
        </is>
      </c>
      <c r="C8" s="20" t="inlineStr">
        <is>
          <t>GO, mobiliteit, milieu</t>
        </is>
      </c>
      <c r="D8" s="20" t="inlineStr">
        <is>
          <t>Urban Strategy</t>
        </is>
      </c>
      <c r="E8" s="20" t="inlineStr">
        <is>
          <t>Gemeenten</t>
        </is>
      </c>
      <c r="F8" s="20" t="inlineStr">
        <is>
          <t>https://ventures.tno.nl/portfolio/scenexus/</t>
        </is>
      </c>
      <c r="G8" s="20" t="inlineStr">
        <is>
          <t>v4 of eerder</t>
        </is>
      </c>
    </row>
    <row r="9" ht="41.75" customHeight="1" s="15">
      <c r="A9" s="20" t="inlineStr">
        <is>
          <t>ZEnMo</t>
        </is>
      </c>
      <c r="B9" s="20" t="inlineStr">
        <is>
          <t>Simulatie</t>
        </is>
      </c>
      <c r="C9" s="20" t="inlineStr">
        <is>
          <t>Energie (lokaal)</t>
        </is>
      </c>
      <c r="D9" s="20" t="inlineStr">
        <is>
          <t>HOLON-simulatietwin</t>
        </is>
      </c>
      <c r="E9" s="20" t="inlineStr">
        <is>
          <t>Drechtsteden, Amersfoort</t>
        </is>
      </c>
      <c r="F9" s="20" t="inlineStr">
        <is>
          <t>https://www.smartdeltadrechtsteden.nl/nieuws/drechtsteden-bouwt-digital-twin-voor-tegengaan-netcongestie</t>
        </is>
      </c>
      <c r="G9" s="20" t="inlineStr">
        <is>
          <t>v4 of eerder</t>
        </is>
      </c>
    </row>
    <row r="10" ht="28.35" customHeight="1" s="15">
      <c r="A10" s="20" t="inlineStr">
        <is>
          <t>Quintel / TNO</t>
        </is>
      </c>
      <c r="B10" s="20" t="inlineStr">
        <is>
          <t>Rekenmodel + taal</t>
        </is>
      </c>
      <c r="C10" s="20" t="inlineStr">
        <is>
          <t>Energie (systeem)</t>
        </is>
      </c>
      <c r="D10" s="20" t="inlineStr">
        <is>
          <t>ETM, ESDL, ESSIM</t>
        </is>
      </c>
      <c r="E10" s="20" t="inlineStr">
        <is>
          <t>ORTESE; regionale studies</t>
        </is>
      </c>
      <c r="F10" s="20" t="inlineStr">
        <is>
          <t>https://www.esdl.nl/en/</t>
        </is>
      </c>
      <c r="G10" s="20" t="inlineStr">
        <is>
          <t>v4 of eerder</t>
        </is>
      </c>
    </row>
    <row r="11" ht="41.75" customHeight="1" s="15">
      <c r="A11" s="20" t="inlineStr">
        <is>
          <t>Gradyent</t>
        </is>
      </c>
      <c r="B11" s="20" t="inlineStr">
        <is>
          <t>Operationele twin</t>
        </is>
      </c>
      <c r="C11" s="20" t="inlineStr">
        <is>
          <t>Energie (warmte)</t>
        </is>
      </c>
      <c r="D11" s="20" t="inlineStr">
        <is>
          <t>Warmtenet-twin</t>
        </is>
      </c>
      <c r="E11" s="20" t="inlineStr">
        <is>
          <t>Ennatuurlijk, Eneco, Gasunie</t>
        </is>
      </c>
      <c r="F11" s="20" t="inlineStr">
        <is>
          <t>https://www.industrielinqs.nl/digitalisering/2025/04/gradyent-haalt-28-miljoen-euro-versterking-warmtenetten-met-digital-twins/</t>
        </is>
      </c>
      <c r="G11" s="20" t="inlineStr">
        <is>
          <t>v4 of eerder</t>
        </is>
      </c>
    </row>
    <row r="12" ht="41.75" customHeight="1" s="15">
      <c r="A12" s="20" t="inlineStr">
        <is>
          <t>Siemens</t>
        </is>
      </c>
      <c r="B12" s="20" t="inlineStr">
        <is>
          <t>Operationele twin</t>
        </is>
      </c>
      <c r="C12" s="20" t="inlineStr">
        <is>
          <t>Energie (LS-net)</t>
        </is>
      </c>
      <c r="D12" s="20" t="inlineStr">
        <is>
          <t>Gridscale X</t>
        </is>
      </c>
      <c r="E12" s="20" t="inlineStr">
        <is>
          <t>Liander</t>
        </is>
      </c>
      <c r="F12" s="20" t="inlineStr">
        <is>
          <t>https://press.siemens.com/global/en/pressrelease/siemens-partners-alliander-accelerate-flexible-grid-management-netherlands</t>
        </is>
      </c>
      <c r="G12" s="20" t="inlineStr">
        <is>
          <t>v4 of eerder</t>
        </is>
      </c>
    </row>
    <row r="13" ht="28.35" customHeight="1" s="15">
      <c r="A13" s="20" t="inlineStr">
        <is>
          <t>eSmart Systems</t>
        </is>
      </c>
      <c r="B13" s="20" t="inlineStr">
        <is>
          <t>Asset-data</t>
        </is>
      </c>
      <c r="C13" s="20" t="inlineStr">
        <is>
          <t>Energie (assets)</t>
        </is>
      </c>
      <c r="D13" s="20" t="inlineStr">
        <is>
          <t>Grid Vision</t>
        </is>
      </c>
      <c r="E13" s="20" t="inlineStr">
        <is>
          <t>Liander</t>
        </is>
      </c>
      <c r="F13" s="20" t="inlineStr">
        <is>
          <t>https://www.esmartsystems.com/case-studies/alliander/</t>
        </is>
      </c>
      <c r="G13" s="20" t="inlineStr">
        <is>
          <t>v4 of eerder</t>
        </is>
      </c>
    </row>
    <row r="14" ht="41.75" customHeight="1" s="15">
      <c r="A14" s="20" t="inlineStr">
        <is>
          <t>Schneider Electric</t>
        </is>
      </c>
      <c r="B14" s="20" t="inlineStr">
        <is>
          <t>Operationele twin</t>
        </is>
      </c>
      <c r="C14" s="20" t="inlineStr">
        <is>
          <t>Energie (gas/H2)</t>
        </is>
      </c>
      <c r="D14" s="20" t="inlineStr">
        <is>
          <t>AGMS</t>
        </is>
      </c>
      <c r="E14" s="20" t="inlineStr">
        <is>
          <t>Gasunie</t>
        </is>
      </c>
      <c r="F14" s="20" t="inlineStr">
        <is>
          <t>https://www.se.com/nl/nl/about-us/newsroom/news/press-releases/gasunie-digitaliseert-energienetwerk-met-agms-680f784f9e46cc8bf50e9c10/</t>
        </is>
      </c>
      <c r="G14" s="20" t="inlineStr">
        <is>
          <t>v4 of eerder</t>
        </is>
      </c>
    </row>
    <row r="15" ht="28.35" customHeight="1" s="15">
      <c r="A15" s="20" t="inlineStr">
        <is>
          <t>Hitachi Energy</t>
        </is>
      </c>
      <c r="B15" s="20" t="inlineStr">
        <is>
          <t>Asset-twin</t>
        </is>
      </c>
      <c r="C15" s="20" t="inlineStr">
        <is>
          <t>Energie (HV)</t>
        </is>
      </c>
      <c r="D15" s="20" t="inlineStr">
        <is>
          <t>IdentiQ</t>
        </is>
      </c>
      <c r="E15" s="20" t="inlineStr">
        <is>
          <t>Internationaal</t>
        </is>
      </c>
      <c r="F15" s="20" t="inlineStr">
        <is>
          <t>https://www.entsoe.eu/technopedia/techsheets/digital-twin-dt/</t>
        </is>
      </c>
      <c r="G15" s="20" t="inlineStr">
        <is>
          <t>v4 of eerder</t>
        </is>
      </c>
    </row>
    <row r="16" ht="28.35" customHeight="1" s="15">
      <c r="A16" s="20" t="inlineStr">
        <is>
          <t>De Twee Snoeken</t>
        </is>
      </c>
      <c r="B16" s="20" t="inlineStr">
        <is>
          <t>Toepassing</t>
        </is>
      </c>
      <c r="C16" s="20" t="inlineStr">
        <is>
          <t>Energie + GO (woningen)</t>
        </is>
      </c>
      <c r="D16" s="20" t="inlineStr">
        <is>
          <t>Smart Twin</t>
        </is>
      </c>
      <c r="E16" s="20" t="inlineStr">
        <is>
          <t>60+ gemeenten</t>
        </is>
      </c>
      <c r="F16" s="20" t="inlineStr">
        <is>
          <t>https://smarttwin.nl/voor-organisaties/gemeenten/</t>
        </is>
      </c>
      <c r="G16" s="20" t="inlineStr">
        <is>
          <t>v4 of eerder</t>
        </is>
      </c>
    </row>
    <row r="17" ht="28.35" customHeight="1" s="15">
      <c r="A17" s="20" t="inlineStr">
        <is>
          <t>Cyclomedia, Geodan, Nelen &amp; Schuurmans, Kavel 10, Sweco</t>
        </is>
      </c>
      <c r="B17" s="20" t="inlineStr">
        <is>
          <t>Data, geo, 3D</t>
        </is>
      </c>
      <c r="C17" s="20" t="inlineStr">
        <is>
          <t>GO</t>
        </is>
      </c>
      <c r="D17" s="20" t="inlineStr">
        <is>
          <t>Beeld, geodata, 3D-viewers</t>
        </is>
      </c>
      <c r="E17" s="20" t="inlineStr">
        <is>
          <t>Gemeenten</t>
        </is>
      </c>
      <c r="F17" s="20" t="inlineStr">
        <is>
          <t>Een perfecte storm (WE Labs, 2023)</t>
        </is>
      </c>
      <c r="G17" s="20" t="inlineStr">
        <is>
          <t>v4 of eerder</t>
        </is>
      </c>
    </row>
    <row r="18" ht="28.35" customHeight="1" s="15">
      <c r="A18" s="20" t="inlineStr">
        <is>
          <t>Microsoft Azure, Cesium, Unity, Unreal</t>
        </is>
      </c>
      <c r="B18" s="20" t="inlineStr">
        <is>
          <t>Infra + rendering</t>
        </is>
      </c>
      <c r="C18" s="20" t="inlineStr">
        <is>
          <t>Generiek</t>
        </is>
      </c>
      <c r="D18" s="20" t="inlineStr">
        <is>
          <t>Cloud en 3D-engines</t>
        </is>
      </c>
      <c r="E18" s="20" t="inlineStr">
        <is>
          <t>Almere/Flevoland; 3D Tiles-viewers</t>
        </is>
      </c>
      <c r="F18" s="20" t="inlineStr">
        <is>
          <t>https://3dtilesnederland.nl/</t>
        </is>
      </c>
      <c r="G18" s="20" t="inlineStr">
        <is>
          <t>v4 of eerder</t>
        </is>
      </c>
    </row>
    <row r="19" ht="28.35" customHeight="1" s="15">
      <c r="A19" s="20" t="inlineStr">
        <is>
          <t>Witteveen+Bos, RHDHV, TAUW, Arcadis, CE Delft</t>
        </is>
      </c>
      <c r="B19" s="20" t="inlineStr">
        <is>
          <t>Integratie + advies</t>
        </is>
      </c>
      <c r="C19" s="20" t="inlineStr">
        <is>
          <t>GO, energie</t>
        </is>
      </c>
      <c r="D19" s="20" t="inlineStr">
        <is>
          <t>Consortia en duiding</t>
        </is>
      </c>
      <c r="E19" s="20" t="inlineStr">
        <is>
          <t>ORTESE</t>
        </is>
      </c>
      <c r="F19" s="20" t="inlineStr">
        <is>
          <t>https://www.witteveenbos.com/nl/projects/emmen-and-ortese</t>
        </is>
      </c>
      <c r="G19" s="20" t="inlineStr">
        <is>
          <t>v4 of eerder</t>
        </is>
      </c>
    </row>
    <row r="20" ht="28.35" customHeight="1" s="15">
      <c r="A20" s="20" t="inlineStr">
        <is>
          <t>Phase to Phase</t>
        </is>
      </c>
      <c r="B20" s="20" t="inlineStr">
        <is>
          <t>Netberekening</t>
        </is>
      </c>
      <c r="C20" s="20" t="inlineStr">
        <is>
          <t>Energie (MS/LS)</t>
        </is>
      </c>
      <c r="D20" s="20" t="inlineStr">
        <is>
          <t>Vision Network Analysis</t>
        </is>
      </c>
      <c r="E20" s="20" t="inlineStr">
        <is>
          <t>NL netbeheer</t>
        </is>
      </c>
      <c r="F20" s="20" t="inlineStr">
        <is>
          <t>https://www.phasetophase.nl/en/products-and-services/products/vision-network-analysis/</t>
        </is>
      </c>
      <c r="G20" s="20" t="inlineStr">
        <is>
          <t>v4 of eerder</t>
        </is>
      </c>
    </row>
    <row r="21" ht="28.35" customHeight="1" s="15">
      <c r="A21" s="20" t="inlineStr">
        <is>
          <t>GE Vernova</t>
        </is>
      </c>
      <c r="B21" s="20" t="inlineStr">
        <is>
          <t>Operationele twin</t>
        </is>
      </c>
      <c r="C21" s="20" t="inlineStr">
        <is>
          <t>Energie</t>
        </is>
      </c>
      <c r="D21" s="20" t="inlineStr">
        <is>
          <t>GridOS / digital twin</t>
        </is>
      </c>
      <c r="E21" s="20" t="inlineStr">
        <is>
          <t>Internationaal</t>
        </is>
      </c>
      <c r="F21" s="20" t="inlineStr">
        <is>
          <t>https://www.gevernova.com/software/innovation/digital-twin-technology</t>
        </is>
      </c>
      <c r="G21" s="20" t="inlineStr">
        <is>
          <t>v4 of eerder</t>
        </is>
      </c>
    </row>
    <row r="22" ht="28.35" customHeight="1" s="15">
      <c r="A22" s="20" t="inlineStr">
        <is>
          <t>Neara</t>
        </is>
      </c>
      <c r="B22" s="20" t="inlineStr">
        <is>
          <t>Asset-twin</t>
        </is>
      </c>
      <c r="C22" s="20" t="inlineStr">
        <is>
          <t>Energie</t>
        </is>
      </c>
      <c r="D22" s="20" t="inlineStr">
        <is>
          <t>3D-netinfrastructuur-twin</t>
        </is>
      </c>
      <c r="E22" s="20" t="inlineStr">
        <is>
          <t>Internationaal</t>
        </is>
      </c>
      <c r="F22" s="20" t="inlineStr">
        <is>
          <t>https://www.startupdaily.net/topic/funding/power-grid-digital-twin-startup-charges-up-on-45-million-series-c/</t>
        </is>
      </c>
      <c r="G22" s="20" t="inlineStr">
        <is>
          <t>v4 of eerder</t>
        </is>
      </c>
    </row>
    <row r="23" ht="28.35" customHeight="1" s="15">
      <c r="A23" s="20" t="inlineStr">
        <is>
          <t>DIgSILENT</t>
        </is>
      </c>
      <c r="B23" s="20" t="inlineStr">
        <is>
          <t>Netberekening</t>
        </is>
      </c>
      <c r="C23" s="20" t="inlineStr">
        <is>
          <t>Energie</t>
        </is>
      </c>
      <c r="D23" s="20" t="inlineStr">
        <is>
          <t>PowerFactory</t>
        </is>
      </c>
      <c r="E23" s="20" t="inlineStr">
        <is>
          <t>Internationaal</t>
        </is>
      </c>
      <c r="F23" s="20" t="inlineStr">
        <is>
          <t>Zoekresultaat (niet geopend)</t>
        </is>
      </c>
      <c r="G23" s="20" t="inlineStr">
        <is>
          <t>v4 of eerder</t>
        </is>
      </c>
    </row>
    <row r="24" ht="28.35" customHeight="1" s="15">
      <c r="A24" s="20" t="inlineStr">
        <is>
          <t>Emmett Green</t>
        </is>
      </c>
      <c r="B24" s="20" t="inlineStr">
        <is>
          <t>EMS-simulatie</t>
        </is>
      </c>
      <c r="C24" s="20" t="inlineStr">
        <is>
          <t>Energie (bedrijf)</t>
        </is>
      </c>
      <c r="D24" s="20" t="inlineStr">
        <is>
          <t>Digital twin voor EMS</t>
        </is>
      </c>
      <c r="E24" s="20" t="inlineStr">
        <is>
          <t>NL-bedrijven</t>
        </is>
      </c>
      <c r="F24" s="20" t="inlineStr">
        <is>
          <t>https://emmettgreen.nl/energie-simulatie-door-digital-twin-voor-ems/</t>
        </is>
      </c>
      <c r="G24" s="20" t="inlineStr">
        <is>
          <t>v4 of eerder</t>
        </is>
      </c>
    </row>
    <row r="25" ht="28.35" customHeight="1" s="15">
      <c r="A25" s="20" t="inlineStr">
        <is>
          <t>CQM</t>
        </is>
      </c>
      <c r="B25" s="20" t="inlineStr">
        <is>
          <t>Simulatie</t>
        </is>
      </c>
      <c r="C25" s="20" t="inlineStr">
        <is>
          <t>Generiek</t>
        </is>
      </c>
      <c r="D25" s="20" t="inlineStr">
        <is>
          <t>Simulatie en digital twins</t>
        </is>
      </c>
      <c r="E25" s="20" t="inlineStr">
        <is>
          <t>NL-industrie</t>
        </is>
      </c>
      <c r="F25" s="20" t="inlineStr">
        <is>
          <t>https://cqm.nl/nl/werkgebieden/data-science/digital-twins</t>
        </is>
      </c>
      <c r="G25" s="20" t="inlineStr">
        <is>
          <t>v4 of eerder</t>
        </is>
      </c>
    </row>
    <row r="26" ht="28.35" customHeight="1" s="15">
      <c r="A26" s="20" t="inlineStr">
        <is>
          <t>Royal HaskoningDHV (Aquasuite)</t>
        </is>
      </c>
      <c r="B26" s="20" t="inlineStr">
        <is>
          <t>Operationele twin</t>
        </is>
      </c>
      <c r="C26" s="20" t="inlineStr">
        <is>
          <t>Water</t>
        </is>
      </c>
      <c r="D26" s="20" t="inlineStr">
        <is>
          <t>Twins zuiveringen</t>
        </is>
      </c>
      <c r="E26" s="20" t="inlineStr">
        <is>
          <t>WBL</t>
        </is>
      </c>
      <c r="F26" s="20" t="inlineStr">
        <is>
          <t>https://www.globalconstructionreview.com/dutch-water-authority-make-digital-twins-17-treatm/</t>
        </is>
      </c>
      <c r="G26" s="20" t="inlineStr">
        <is>
          <t>v4 of eerder</t>
        </is>
      </c>
    </row>
    <row r="27" ht="41.75" customHeight="1" s="15">
      <c r="A27" s="20" t="inlineStr">
        <is>
          <t>Nelen &amp; Schuurmans (3Di, Lizard)</t>
        </is>
      </c>
      <c r="B27" s="20" t="inlineStr">
        <is>
          <t>Simulatie</t>
        </is>
      </c>
      <c r="C27" s="20" t="inlineStr">
        <is>
          <t>Water, klimaat</t>
        </is>
      </c>
      <c r="D27" s="20" t="inlineStr">
        <is>
          <t>Dynamic digital twin riolering</t>
        </is>
      </c>
      <c r="E27" s="20" t="inlineStr">
        <is>
          <t>Gemeenten, waterschappen</t>
        </is>
      </c>
      <c r="F27" s="20" t="inlineStr">
        <is>
          <t>https://nelen-schuurmans.nl/blog/2022/07/26/dynamic-digital-twin-voor-riolering-hydrodynamisch-rekenmodel-in-een-3d-dynamic-digital-twin/</t>
        </is>
      </c>
      <c r="G27" s="20" t="inlineStr">
        <is>
          <t>v4 of eerder</t>
        </is>
      </c>
    </row>
    <row r="28" ht="28.35" customHeight="1" s="15">
      <c r="A28" s="20" t="inlineStr">
        <is>
          <t>Aveco de Bondt</t>
        </is>
      </c>
      <c r="B28" s="20" t="inlineStr">
        <is>
          <t>Toepassing</t>
        </is>
      </c>
      <c r="C28" s="20" t="inlineStr">
        <is>
          <t>Infra</t>
        </is>
      </c>
      <c r="D28" s="20" t="inlineStr">
        <is>
          <t>Twin Maeslantkering</t>
        </is>
      </c>
      <c r="E28" s="20" t="inlineStr">
        <is>
          <t>Rijkswaterstaat</t>
        </is>
      </c>
      <c r="F28" s="20" t="inlineStr">
        <is>
          <t>https://www.computable.nl/2024/05/28/digital-twins-populair-in-de-civiele-wereld/</t>
        </is>
      </c>
      <c r="G28" s="20" t="inlineStr">
        <is>
          <t>v4 of eerder</t>
        </is>
      </c>
    </row>
    <row r="29" ht="28.35" customHeight="1" s="15">
      <c r="A29" s="20" t="inlineStr">
        <is>
          <t>Sogelink</t>
        </is>
      </c>
      <c r="B29" s="20" t="inlineStr">
        <is>
          <t>Data + platform</t>
        </is>
      </c>
      <c r="C29" s="20" t="inlineStr">
        <is>
          <t>Bodem, K&amp;L</t>
        </is>
      </c>
      <c r="D29" s="20" t="inlineStr">
        <is>
          <t>Grondmarkt</t>
        </is>
      </c>
      <c r="E29" s="20" t="inlineStr">
        <is>
          <t>Kadaster, BZK</t>
        </is>
      </c>
      <c r="F29" s="20" t="inlineStr">
        <is>
          <t>https://www.computable.nl/2024/05/28/digital-twins-populair-in-de-civiele-wereld/</t>
        </is>
      </c>
      <c r="G29" s="20" t="inlineStr">
        <is>
          <t>v4 of eerder</t>
        </is>
      </c>
    </row>
    <row r="30" ht="28.35" customHeight="1" s="15">
      <c r="A30" s="20" t="inlineStr">
        <is>
          <t>Geomaat</t>
        </is>
      </c>
      <c r="B30" s="20" t="inlineStr">
        <is>
          <t>3D-data</t>
        </is>
      </c>
      <c r="C30" s="20" t="inlineStr">
        <is>
          <t>GO</t>
        </is>
      </c>
      <c r="D30" s="20" t="inlineStr">
        <is>
          <t>3D-stadsmodellen</t>
        </is>
      </c>
      <c r="E30" s="20" t="inlineStr">
        <is>
          <t>Groningen, Amersfoort, Utrecht</t>
        </is>
      </c>
      <c r="F30" s="20" t="inlineStr">
        <is>
          <t>https://www.geomaat.nl/producten/3d-stadsmodel/</t>
        </is>
      </c>
      <c r="G30" s="20" t="inlineStr">
        <is>
          <t>v4 of eerder</t>
        </is>
      </c>
    </row>
    <row r="31" ht="28.35" customHeight="1" s="15">
      <c r="A31" s="20" t="inlineStr">
        <is>
          <t>StrateGis Groep (3D Cityplanner)</t>
        </is>
      </c>
      <c r="B31" s="20" t="inlineStr">
        <is>
          <t>Platform + 3D</t>
        </is>
      </c>
      <c r="C31" s="20" t="inlineStr">
        <is>
          <t>GO</t>
        </is>
      </c>
      <c r="D31" s="20" t="inlineStr">
        <is>
          <t>Digital twin city</t>
        </is>
      </c>
      <c r="E31" s="20" t="inlineStr">
        <is>
          <t>Gemeenten</t>
        </is>
      </c>
      <c r="F31" s="20" t="inlineStr">
        <is>
          <t>https://3dcityplanner.com/nederland-3d.html</t>
        </is>
      </c>
      <c r="G31" s="20" t="inlineStr">
        <is>
          <t>v4 of eerder</t>
        </is>
      </c>
    </row>
    <row r="32" ht="28.35" customHeight="1" s="15">
      <c r="A32" s="20" t="inlineStr">
        <is>
          <t>GeoBORG</t>
        </is>
      </c>
      <c r="B32" s="20" t="inlineStr">
        <is>
          <t>3D-data</t>
        </is>
      </c>
      <c r="C32" s="20" t="inlineStr">
        <is>
          <t>GO</t>
        </is>
      </c>
      <c r="D32" s="20" t="inlineStr">
        <is>
          <t>3D-stadsmodellen</t>
        </is>
      </c>
      <c r="E32" s="20" t="inlineStr">
        <is>
          <t>Gemeenten</t>
        </is>
      </c>
      <c r="F32" s="20" t="inlineStr">
        <is>
          <t>https://geoborg.nl/3d-stadsmodellen/</t>
        </is>
      </c>
      <c r="G32" s="20" t="inlineStr">
        <is>
          <t>v4 of eerder</t>
        </is>
      </c>
    </row>
    <row r="33" ht="28.35" customHeight="1" s="15">
      <c r="A33" s="20" t="inlineStr">
        <is>
          <t>TwinTopics</t>
        </is>
      </c>
      <c r="B33" s="20" t="inlineStr">
        <is>
          <t>Vastgoed-twin</t>
        </is>
      </c>
      <c r="C33" s="20" t="inlineStr">
        <is>
          <t>GO (woningen)</t>
        </is>
      </c>
      <c r="D33" s="20" t="inlineStr">
        <is>
          <t>TwinSpot/TwinScan</t>
        </is>
      </c>
      <c r="E33" s="20" t="inlineStr">
        <is>
          <t>Woningcorporaties</t>
        </is>
      </c>
      <c r="F33" s="20" t="inlineStr">
        <is>
          <t>https://www.twintopics.com/</t>
        </is>
      </c>
      <c r="G33" s="20" t="inlineStr">
        <is>
          <t>v4 of eerder</t>
        </is>
      </c>
    </row>
    <row r="34" ht="28.35" customHeight="1" s="15">
      <c r="A34" s="20" t="inlineStr">
        <is>
          <t>Bryder</t>
        </is>
      </c>
      <c r="B34" s="20" t="inlineStr">
        <is>
          <t>Vastgoed-twin</t>
        </is>
      </c>
      <c r="C34" s="20" t="inlineStr">
        <is>
          <t>GO</t>
        </is>
      </c>
      <c r="D34" s="20" t="inlineStr">
        <is>
          <t>Gebouwinformatie</t>
        </is>
      </c>
      <c r="E34" s="20" t="inlineStr">
        <is>
          <t>Woningcorporaties</t>
        </is>
      </c>
      <c r="F34" s="20" t="inlineStr">
        <is>
          <t>https://bryder.com/artikelen/category/digital-twins/</t>
        </is>
      </c>
      <c r="G34" s="20" t="inlineStr">
        <is>
          <t>v4 of eerder</t>
        </is>
      </c>
    </row>
    <row r="35" ht="28.35" customHeight="1" s="15">
      <c r="A35" s="20" t="inlineStr">
        <is>
          <t>BIM4ALL</t>
        </is>
      </c>
      <c r="B35" s="20" t="inlineStr">
        <is>
          <t>Vastgoed-twin</t>
        </is>
      </c>
      <c r="C35" s="20" t="inlineStr">
        <is>
          <t>GO (woningen)</t>
        </is>
      </c>
      <c r="D35" s="20" t="inlineStr">
        <is>
          <t>Digital twin corporaties</t>
        </is>
      </c>
      <c r="E35" s="20" t="inlineStr">
        <is>
          <t>Woningcorporaties</t>
        </is>
      </c>
      <c r="F35" s="20" t="inlineStr">
        <is>
          <t>https://www.bim4all.com/digital-twin-woningcorporaties</t>
        </is>
      </c>
      <c r="G35" s="20" t="inlineStr">
        <is>
          <t>v4 of eerder</t>
        </is>
      </c>
    </row>
    <row r="36" ht="28.35" customHeight="1" s="15">
      <c r="A36" s="20" t="inlineStr">
        <is>
          <t>R3D Reality</t>
        </is>
      </c>
      <c r="B36" s="20" t="inlineStr">
        <is>
          <t>Vastgoed-twin</t>
        </is>
      </c>
      <c r="C36" s="20" t="inlineStr">
        <is>
          <t>GO</t>
        </is>
      </c>
      <c r="D36" s="20" t="inlineStr">
        <is>
          <t>Scan-naar-twin</t>
        </is>
      </c>
      <c r="E36" s="20" t="inlineStr">
        <is>
          <t>Vastgoedbeheer</t>
        </is>
      </c>
      <c r="F36" s="20" t="inlineStr">
        <is>
          <t>https://r3dreality.com/oplossingen/digital-twin/</t>
        </is>
      </c>
      <c r="G36" s="20" t="inlineStr">
        <is>
          <t>v4 of eerder</t>
        </is>
      </c>
    </row>
    <row r="37" ht="28.35" customHeight="1" s="15">
      <c r="A37" s="20" t="inlineStr">
        <is>
          <t>Habotek</t>
        </is>
      </c>
      <c r="B37" s="20" t="inlineStr">
        <is>
          <t>Vastgoed-twin</t>
        </is>
      </c>
      <c r="C37" s="20" t="inlineStr">
        <is>
          <t>GO</t>
        </is>
      </c>
      <c r="D37" s="20" t="inlineStr">
        <is>
          <t>Scan-naar-model</t>
        </is>
      </c>
      <c r="E37" s="20" t="inlineStr">
        <is>
          <t>Vastgoedbeheer</t>
        </is>
      </c>
      <c r="F37" s="20" t="inlineStr">
        <is>
          <t>https://habotek.com/services/innovatief-vastgoedbeheer-met-digital-twins-technologie-habotek/</t>
        </is>
      </c>
      <c r="G37" s="20" t="inlineStr">
        <is>
          <t>v4 of eerder</t>
        </is>
      </c>
    </row>
    <row r="38" ht="28.35" customHeight="1" s="15">
      <c r="A38" s="20" t="inlineStr">
        <is>
          <t>Utwin</t>
        </is>
      </c>
      <c r="B38" s="20" t="inlineStr">
        <is>
          <t>Vastgoed-twin</t>
        </is>
      </c>
      <c r="C38" s="20" t="inlineStr">
        <is>
          <t>GO</t>
        </is>
      </c>
      <c r="D38" s="20" t="inlineStr">
        <is>
          <t>Onderhoudsbeheer</t>
        </is>
      </c>
      <c r="E38" s="20" t="inlineStr">
        <is>
          <t>Vastgoedbeheer</t>
        </is>
      </c>
      <c r="F38" s="20" t="inlineStr">
        <is>
          <t>https://www.utwin.global/nl/property-maintenance-management-software</t>
        </is>
      </c>
      <c r="G38" s="20" t="inlineStr">
        <is>
          <t>v4 of eerder</t>
        </is>
      </c>
    </row>
    <row r="39" ht="28.35" customHeight="1" s="15">
      <c r="A39" s="20" t="inlineStr">
        <is>
          <t>KPN</t>
        </is>
      </c>
      <c r="B39" s="20" t="inlineStr">
        <is>
          <t>Connectiviteit + platform</t>
        </is>
      </c>
      <c r="C39" s="20" t="inlineStr">
        <is>
          <t>GO</t>
        </is>
      </c>
      <c r="D39" s="20" t="inlineStr">
        <is>
          <t>Smart city</t>
        </is>
      </c>
      <c r="E39" s="20" t="inlineStr">
        <is>
          <t>Gemeenten</t>
        </is>
      </c>
      <c r="F39" s="20" t="inlineStr">
        <is>
          <t>https://ibestuur.nl/partner/kpn/een-slimme-stad-begint-met-overzicht</t>
        </is>
      </c>
      <c r="G39" s="20" t="inlineStr">
        <is>
          <t>v4 of eerder</t>
        </is>
      </c>
    </row>
    <row r="40" ht="28.35" customHeight="1" s="15">
      <c r="A40" s="20" t="inlineStr">
        <is>
          <t>Bentley Systems (iTwin)</t>
        </is>
      </c>
      <c r="B40" s="20" t="inlineStr">
        <is>
          <t>Platform</t>
        </is>
      </c>
      <c r="C40" s="20" t="inlineStr">
        <is>
          <t>Infra, GO</t>
        </is>
      </c>
      <c r="D40" s="20" t="inlineStr">
        <is>
          <t>iTwin</t>
        </is>
      </c>
      <c r="E40" s="20" t="inlineStr">
        <is>
          <t>Internationaal</t>
        </is>
      </c>
      <c r="F40" s="20" t="inlineStr">
        <is>
          <t>https://aecmag.com/digital-twin/bentley-systems-itwin-phase-two/</t>
        </is>
      </c>
      <c r="G40" s="20" t="inlineStr">
        <is>
          <t>v4 of eerder</t>
        </is>
      </c>
    </row>
    <row r="41" ht="28.35" customHeight="1" s="15">
      <c r="A41" s="20" t="inlineStr">
        <is>
          <t>Autodesk (Tandem)</t>
        </is>
      </c>
      <c r="B41" s="20" t="inlineStr">
        <is>
          <t>Platform</t>
        </is>
      </c>
      <c r="C41" s="20" t="inlineStr">
        <is>
          <t>Gebouwen</t>
        </is>
      </c>
      <c r="D41" s="20" t="inlineStr">
        <is>
          <t>Tandem</t>
        </is>
      </c>
      <c r="E41" s="20" t="inlineStr">
        <is>
          <t>Internationaal</t>
        </is>
      </c>
      <c r="F41" s="20" t="inlineStr">
        <is>
          <t>https://intandem.autodesk.com/</t>
        </is>
      </c>
      <c r="G41" s="20" t="inlineStr">
        <is>
          <t>v4 of eerder</t>
        </is>
      </c>
    </row>
    <row r="42" ht="28.35" customHeight="1" s="15">
      <c r="A42" s="20" t="inlineStr">
        <is>
          <t>Dassault Systemes</t>
        </is>
      </c>
      <c r="B42" s="20" t="inlineStr">
        <is>
          <t>Platform</t>
        </is>
      </c>
      <c r="C42" s="20" t="inlineStr">
        <is>
          <t>GO, industrie</t>
        </is>
      </c>
      <c r="D42" s="20" t="inlineStr">
        <is>
          <t>3DEXPERIENCE</t>
        </is>
      </c>
      <c r="E42" s="20" t="inlineStr">
        <is>
          <t>Internationaal</t>
        </is>
      </c>
      <c r="F42" s="20" t="inlineStr">
        <is>
          <t>Zoekresultaat (niet geopend)</t>
        </is>
      </c>
      <c r="G42" s="20" t="inlineStr">
        <is>
          <t>v4 of eerder</t>
        </is>
      </c>
    </row>
    <row r="43" ht="28.35" customHeight="1" s="15">
      <c r="A43" s="20" t="inlineStr">
        <is>
          <t>NVIDIA (Omniverse)</t>
        </is>
      </c>
      <c r="B43" s="20" t="inlineStr">
        <is>
          <t>Rendering + simulatie</t>
        </is>
      </c>
      <c r="C43" s="20" t="inlineStr">
        <is>
          <t>Generiek</t>
        </is>
      </c>
      <c r="D43" s="20" t="inlineStr">
        <is>
          <t>Omniverse</t>
        </is>
      </c>
      <c r="E43" s="20" t="inlineStr">
        <is>
          <t>Internationaal</t>
        </is>
      </c>
      <c r="F43" s="20" t="inlineStr">
        <is>
          <t>Zoekresultaat (niet geopend)</t>
        </is>
      </c>
      <c r="G43" s="20" t="inlineStr">
        <is>
          <t>v4 of eerder</t>
        </is>
      </c>
    </row>
    <row r="44" ht="28.35" customHeight="1" s="15">
      <c r="A44" s="20" t="inlineStr">
        <is>
          <t>Virtual City Systems</t>
        </is>
      </c>
      <c r="B44" s="20" t="inlineStr">
        <is>
          <t>Platform + 3D</t>
        </is>
      </c>
      <c r="C44" s="20" t="inlineStr">
        <is>
          <t>GO</t>
        </is>
      </c>
      <c r="D44" s="20" t="inlineStr">
        <is>
          <t>3D-stadsplatform (DUET)</t>
        </is>
      </c>
      <c r="E44" s="20" t="inlineStr">
        <is>
          <t>EU</t>
        </is>
      </c>
      <c r="F44" s="20" t="inlineStr">
        <is>
          <t>https://vc.systems/en/explore/research-projects/duet/</t>
        </is>
      </c>
      <c r="G44" s="20" t="inlineStr">
        <is>
          <t>v4 of eerder</t>
        </is>
      </c>
    </row>
    <row r="45" ht="28.35" customHeight="1" s="15">
      <c r="A45" s="20" t="inlineStr">
        <is>
          <t>Imagem</t>
        </is>
      </c>
      <c r="B45" s="20" t="inlineStr">
        <is>
          <t>Platform + water</t>
        </is>
      </c>
      <c r="C45" s="20" t="inlineStr">
        <is>
          <t>GO, water</t>
        </is>
      </c>
      <c r="D45" s="20" t="inlineStr">
        <is>
          <t>Twin wateroverlast</t>
        </is>
      </c>
      <c r="E45" s="20" t="inlineStr">
        <is>
          <t>Almere</t>
        </is>
      </c>
      <c r="F45" s="20" t="inlineStr">
        <is>
          <t>https://imagem.nl/en/klantcase/gemeente-almere-gaat-de-strijd-tegen-wateroverlast-aan-met-een-digital-twin/</t>
        </is>
      </c>
      <c r="G45" s="20" t="inlineStr">
        <is>
          <t>v4 of eerder</t>
        </is>
      </c>
    </row>
    <row r="46" ht="28.35" customHeight="1" s="15">
      <c r="A46" s="20" t="inlineStr">
        <is>
          <t>N-SIDE</t>
        </is>
      </c>
      <c r="B46" s="20" t="inlineStr">
        <is>
          <t>Optimalisatie</t>
        </is>
      </c>
      <c r="C46" s="20" t="inlineStr">
        <is>
          <t>Energie (TSO)</t>
        </is>
      </c>
      <c r="D46" s="20" t="inlineStr">
        <is>
          <t>Open innovatie TenneT</t>
        </is>
      </c>
      <c r="E46" s="20" t="inlineStr">
        <is>
          <t>TenneT</t>
        </is>
      </c>
      <c r="F46" s="20" t="inlineStr">
        <is>
          <t>https://www.tennet.eu/nl/nieuws/open-innovatie-programma-n-side-nieuwe-partner-voor-tennet</t>
        </is>
      </c>
      <c r="G46" s="20" t="inlineStr">
        <is>
          <t>v4 of eerder</t>
        </is>
      </c>
    </row>
    <row r="47" ht="28.35" customHeight="1" s="15">
      <c r="A47" s="20" t="inlineStr">
        <is>
          <t>Convergence / DigiPACT</t>
        </is>
      </c>
      <c r="B47" s="20" t="inlineStr">
        <is>
          <t>Onderzoek + toepassing</t>
        </is>
      </c>
      <c r="C47" s="20" t="inlineStr">
        <is>
          <t>Haven</t>
        </is>
      </c>
      <c r="D47" s="20" t="inlineStr">
        <is>
          <t>Haven-twin emissies</t>
        </is>
      </c>
      <c r="E47" s="20" t="inlineStr">
        <is>
          <t>Port of Rotterdam</t>
        </is>
      </c>
      <c r="F47" s="20" t="inlineStr">
        <is>
          <t>https://convergence.nl/reducing-emissions-in-the-port-of-rotterdam-with-a-digital-twin/</t>
        </is>
      </c>
      <c r="G47" s="20" t="inlineStr">
        <is>
          <t>v4 of eerder</t>
        </is>
      </c>
    </row>
    <row r="48" ht="41.75" customHeight="1" s="15">
      <c r="A48" s="20" t="inlineStr">
        <is>
          <t>Port of Rotterdam</t>
        </is>
      </c>
      <c r="B48" s="20" t="inlineStr">
        <is>
          <t>Operationele twin</t>
        </is>
      </c>
      <c r="C48" s="20" t="inlineStr">
        <is>
          <t>Haven</t>
        </is>
      </c>
      <c r="D48" s="20" t="inlineStr">
        <is>
          <t>Eigen haven-twin</t>
        </is>
      </c>
      <c r="E48" s="20" t="inlineStr">
        <is>
          <t>Port of Rotterdam</t>
        </is>
      </c>
      <c r="F48" s="20" t="inlineStr">
        <is>
          <t>https://www.cio-platform.nl/k/nl/n626/news/view/8057/6753/port-of-rotterdam-met-de-digital-twin-de-slimste-haven.html</t>
        </is>
      </c>
      <c r="G48" s="20" t="inlineStr">
        <is>
          <t>v4 of eerder</t>
        </is>
      </c>
    </row>
    <row r="49" ht="41.75" customHeight="1" s="15">
      <c r="A49" s="20" t="inlineStr">
        <is>
          <t>KWR</t>
        </is>
      </c>
      <c r="B49" s="20" t="inlineStr">
        <is>
          <t>Onderzoek + model</t>
        </is>
      </c>
      <c r="C49" s="20" t="inlineStr">
        <is>
          <t>Water, warmte</t>
        </is>
      </c>
      <c r="D49" s="20" t="inlineStr">
        <is>
          <t>Twin warmtesysteem</t>
        </is>
      </c>
      <c r="E49" s="20" t="inlineStr">
        <is>
          <t>WarmteStad</t>
        </is>
      </c>
      <c r="F49" s="20" t="inlineStr">
        <is>
          <t>https://www.kwrwater.nl/actueel/warmtestad-en-kwr-demonstreren-duurzaam-warmtesysteem-in-groningen-met-digital-twin/</t>
        </is>
      </c>
      <c r="G49" s="20" t="inlineStr">
        <is>
          <t>v4 of eerder</t>
        </is>
      </c>
    </row>
    <row r="50" ht="28.35" customHeight="1" s="15">
      <c r="A50" s="20" t="inlineStr">
        <is>
          <t>EnergyLabs</t>
        </is>
      </c>
      <c r="B50" s="20" t="inlineStr">
        <is>
          <t>Simulatie</t>
        </is>
      </c>
      <c r="C50" s="20" t="inlineStr">
        <is>
          <t>Energie (systeem)</t>
        </is>
      </c>
      <c r="D50" s="20" t="inlineStr">
        <is>
          <t>Energiesysteem nabouwen en scenario's doorrekenen</t>
        </is>
      </c>
      <c r="E50" s="20" t="inlineStr">
        <is>
          <t>Beurs okt. 2026</t>
        </is>
      </c>
      <c r="F50" s="20" t="inlineStr">
        <is>
          <t>Digital twins: partijen om te kennen (Vakbeurs Energie e.a., okt. 2026)</t>
        </is>
      </c>
      <c r="G50" s="20" t="inlineStr">
        <is>
          <t>v5</t>
        </is>
      </c>
    </row>
    <row r="51" ht="28.35" customHeight="1" s="15">
      <c r="A51" s="20" t="inlineStr">
        <is>
          <t>Wattix</t>
        </is>
      </c>
      <c r="B51" s="20" t="inlineStr">
        <is>
          <t>Simulatie</t>
        </is>
      </c>
      <c r="C51" s="20" t="inlineStr">
        <is>
          <t>Energie (aansluiting)</t>
        </is>
      </c>
      <c r="D51" s="20" t="inlineStr">
        <is>
          <t>Simuleert wat kan binnen een beperkte netaansluiting</t>
        </is>
      </c>
      <c r="E51" s="20" t="inlineStr">
        <is>
          <t>Beurs okt. 2026</t>
        </is>
      </c>
      <c r="F51" s="20" t="inlineStr">
        <is>
          <t>Digital twins: partijen om te kennen (okt. 2026)</t>
        </is>
      </c>
      <c r="G51" s="20" t="inlineStr">
        <is>
          <t>v5</t>
        </is>
      </c>
    </row>
    <row r="52" ht="28.35" customHeight="1" s="15">
      <c r="A52" s="20" t="inlineStr">
        <is>
          <t>SmartDodos</t>
        </is>
      </c>
      <c r="B52" s="20" t="inlineStr">
        <is>
          <t>Data + simulatie</t>
        </is>
      </c>
      <c r="C52" s="20" t="inlineStr">
        <is>
          <t>Energie, GO</t>
        </is>
      </c>
      <c r="D52" s="20" t="inlineStr">
        <is>
          <t>Datalaag en scenariotools voor adviseurs, met API</t>
        </is>
      </c>
      <c r="E52" s="20" t="inlineStr">
        <is>
          <t>Beurs okt. 2026</t>
        </is>
      </c>
      <c r="F52" s="20" t="inlineStr">
        <is>
          <t>Digital twins: partijen om te kennen (okt. 2026)</t>
        </is>
      </c>
      <c r="G52" s="20" t="inlineStr">
        <is>
          <t>v5</t>
        </is>
      </c>
    </row>
    <row r="53" ht="28.35" customHeight="1" s="15">
      <c r="A53" s="20" t="inlineStr">
        <is>
          <t>Extraqt (BE)</t>
        </is>
      </c>
      <c r="B53" s="20" t="inlineStr">
        <is>
          <t>Simulatie</t>
        </is>
      </c>
      <c r="C53" s="20" t="inlineStr">
        <is>
          <t>Water, warmte</t>
        </is>
      </c>
      <c r="D53" s="20" t="inlineStr">
        <is>
          <t>Digital twins van oppervlaktewater voor aquathermie</t>
        </is>
      </c>
      <c r="E53" s="20" t="inlineStr">
        <is>
          <t>Beurs okt. 2026</t>
        </is>
      </c>
      <c r="F53" s="20" t="inlineStr">
        <is>
          <t>Digital twins: partijen om te kennen (okt. 2026)</t>
        </is>
      </c>
      <c r="G53" s="20" t="inlineStr">
        <is>
          <t>v5</t>
        </is>
      </c>
    </row>
    <row r="54" ht="15" customHeight="1" s="15">
      <c r="A54" s="20" t="inlineStr">
        <is>
          <t>Siemens (Building X)</t>
        </is>
      </c>
      <c r="B54" s="20" t="inlineStr">
        <is>
          <t>Operationele twin</t>
        </is>
      </c>
      <c r="C54" s="20" t="inlineStr">
        <is>
          <t>Gebouwen</t>
        </is>
      </c>
      <c r="D54" s="20" t="inlineStr">
        <is>
          <t>Twin van installaties, meters en documenten</t>
        </is>
      </c>
      <c r="E54" s="20" t="inlineStr">
        <is>
          <t>Beurs okt. 2026</t>
        </is>
      </c>
      <c r="F54" s="20" t="inlineStr">
        <is>
          <t>Digital twins: partijen om te kennen (okt. 2026)</t>
        </is>
      </c>
      <c r="G54" s="20" t="inlineStr">
        <is>
          <t>v5</t>
        </is>
      </c>
    </row>
    <row r="55" ht="28.35" customHeight="1" s="15">
      <c r="A55" s="20" t="inlineStr">
        <is>
          <t>ACS Climatics</t>
        </is>
      </c>
      <c r="B55" s="20" t="inlineStr">
        <is>
          <t>Operationele twin</t>
        </is>
      </c>
      <c r="C55" s="20" t="inlineStr">
        <is>
          <t>Gebouwen</t>
        </is>
      </c>
      <c r="D55" s="20" t="inlineStr">
        <is>
          <t>Live gebouwmodel en twin van thermisch gedrag</t>
        </is>
      </c>
      <c r="E55" s="20" t="inlineStr">
        <is>
          <t>Beurs okt. 2026</t>
        </is>
      </c>
      <c r="F55" s="20" t="inlineStr">
        <is>
          <t>Digital twins: partijen om te kennen (okt. 2026)</t>
        </is>
      </c>
      <c r="G55" s="20" t="inlineStr">
        <is>
          <t>v5</t>
        </is>
      </c>
    </row>
    <row r="56" ht="15" customHeight="1" s="15">
      <c r="A56" s="20" t="inlineStr">
        <is>
          <t>Entune</t>
        </is>
      </c>
      <c r="B56" s="20" t="inlineStr">
        <is>
          <t>Operationele twin</t>
        </is>
      </c>
      <c r="C56" s="20" t="inlineStr">
        <is>
          <t>Gebouwen</t>
        </is>
      </c>
      <c r="D56" s="20" t="inlineStr">
        <is>
          <t>AI-sturing van klimaatinstallaties via simulaties</t>
        </is>
      </c>
      <c r="E56" s="20" t="inlineStr">
        <is>
          <t>Beurs okt. 2026</t>
        </is>
      </c>
      <c r="F56" s="20" t="inlineStr">
        <is>
          <t>Digital twins: partijen om te kennen (okt. 2026)</t>
        </is>
      </c>
      <c r="G56" s="20" t="inlineStr">
        <is>
          <t>v5</t>
        </is>
      </c>
    </row>
    <row r="57" ht="28.35" customHeight="1" s="15">
      <c r="A57" s="20" t="inlineStr">
        <is>
          <t>Withthegrid</t>
        </is>
      </c>
      <c r="B57" s="20" t="inlineStr">
        <is>
          <t>Operationele twin</t>
        </is>
      </c>
      <c r="C57" s="20" t="inlineStr">
        <is>
          <t>Energie (assets)</t>
        </is>
      </c>
      <c r="D57" s="20" t="inlineStr">
        <is>
          <t>Monitoring en aansturing van energie-assets op afstand</t>
        </is>
      </c>
      <c r="E57" s="20" t="inlineStr">
        <is>
          <t>Beurs okt. 2026</t>
        </is>
      </c>
      <c r="F57" s="20" t="inlineStr">
        <is>
          <t>Digital twins: partijen om te kennen (okt. 2026)</t>
        </is>
      </c>
      <c r="G57" s="20" t="inlineStr">
        <is>
          <t>v5</t>
        </is>
      </c>
    </row>
    <row r="58" ht="28.35" customHeight="1" s="15">
      <c r="A58" s="20" t="inlineStr">
        <is>
          <t>Moducad</t>
        </is>
      </c>
      <c r="B58" s="20" t="inlineStr">
        <is>
          <t>Platform + 3D</t>
        </is>
      </c>
      <c r="C58" s="20" t="inlineStr">
        <is>
          <t>GO (ontwerp)</t>
        </is>
      </c>
      <c r="D58" s="20" t="inlineStr">
        <is>
          <t>Omgeving in 3D uit open data en 3D BAG, met configurator</t>
        </is>
      </c>
      <c r="E58" s="20" t="inlineStr">
        <is>
          <t>Beurs okt. 2026</t>
        </is>
      </c>
      <c r="F58" s="20" t="inlineStr">
        <is>
          <t>Digital twins: partijen om te kennen (okt. 2026)</t>
        </is>
      </c>
      <c r="G58" s="20" t="inlineStr">
        <is>
          <t>v5</t>
        </is>
      </c>
    </row>
    <row r="59" ht="28.35" customHeight="1" s="15">
      <c r="A59" s="20" t="inlineStr">
        <is>
          <t>DGMR Software</t>
        </is>
      </c>
      <c r="B59" s="20" t="inlineStr">
        <is>
          <t>Simulatie</t>
        </is>
      </c>
      <c r="C59" s="20" t="inlineStr">
        <is>
          <t>Gebouwen</t>
        </is>
      </c>
      <c r="D59" s="20" t="inlineStr">
        <is>
          <t>Vroege toets energie, MPG, daglicht, oververhitting</t>
        </is>
      </c>
      <c r="E59" s="20" t="inlineStr">
        <is>
          <t>Beurs okt. 2026</t>
        </is>
      </c>
      <c r="F59" s="20" t="inlineStr">
        <is>
          <t>Digital twins: partijen om te kennen (okt. 2026)</t>
        </is>
      </c>
      <c r="G59" s="20" t="inlineStr">
        <is>
          <t>v5</t>
        </is>
      </c>
    </row>
    <row r="60" ht="41.75" customHeight="1" s="15">
      <c r="A60" s="20" t="inlineStr">
        <is>
          <t>Digitaliseringsplein (Packhunt, CADblanche, Construsoft, BIM4Production)</t>
        </is>
      </c>
      <c r="B60" s="20" t="inlineStr">
        <is>
          <t>BIM + prefab</t>
        </is>
      </c>
      <c r="C60" s="20" t="inlineStr">
        <is>
          <t>Bouw</t>
        </is>
      </c>
      <c r="D60" s="20" t="inlineStr">
        <is>
          <t>BIM- en prefabketen</t>
        </is>
      </c>
      <c r="E60" s="20" t="inlineStr">
        <is>
          <t>Beurs okt. 2026</t>
        </is>
      </c>
      <c r="F60" s="20" t="inlineStr">
        <is>
          <t>Digital twins: partijen om te kennen (okt. 2026)</t>
        </is>
      </c>
      <c r="G60" s="20" t="inlineStr">
        <is>
          <t>v5</t>
        </is>
      </c>
    </row>
    <row r="61" ht="15" customHeight="1" s="15">
      <c r="A61" s="20" t="inlineStr">
        <is>
          <t>Construsoft</t>
        </is>
      </c>
      <c r="B61" s="20" t="inlineStr">
        <is>
          <t>BIM</t>
        </is>
      </c>
      <c r="C61" s="20" t="inlineStr">
        <is>
          <t>Bouw</t>
        </is>
      </c>
      <c r="D61" s="20" t="inlineStr">
        <is>
          <t>Tekla, SketchUp, Trimble Connect</t>
        </is>
      </c>
      <c r="E61" s="20" t="inlineStr">
        <is>
          <t>Beurs okt. 2026</t>
        </is>
      </c>
      <c r="F61" s="20" t="inlineStr">
        <is>
          <t>Digital twins: partijen om te kennen (okt. 2026)</t>
        </is>
      </c>
      <c r="G61" s="20" t="inlineStr">
        <is>
          <t>v5</t>
        </is>
      </c>
    </row>
    <row r="62" ht="28.35" customHeight="1" s="15">
      <c r="A62" s="20" t="inlineStr">
        <is>
          <t>Productivity</t>
        </is>
      </c>
      <c r="B62" s="20" t="inlineStr">
        <is>
          <t>BIM + configurator</t>
        </is>
      </c>
      <c r="C62" s="20" t="inlineStr">
        <is>
          <t>Bouw</t>
        </is>
      </c>
      <c r="D62" s="20" t="inlineStr">
        <is>
          <t>Configurator en samenwerkingsplatform Buildify</t>
        </is>
      </c>
      <c r="E62" s="20" t="inlineStr">
        <is>
          <t>Beurs okt. 2026</t>
        </is>
      </c>
      <c r="F62" s="20" t="inlineStr">
        <is>
          <t>Digital twins: partijen om te kennen (okt. 2026)</t>
        </is>
      </c>
      <c r="G62" s="20" t="inlineStr">
        <is>
          <t>v5</t>
        </is>
      </c>
    </row>
    <row r="63" ht="15" customHeight="1" s="15">
      <c r="A63" s="20" t="inlineStr">
        <is>
          <t>Leica Geosystems, Geometius</t>
        </is>
      </c>
      <c r="B63" s="20" t="inlineStr">
        <is>
          <t>Reality capture</t>
        </is>
      </c>
      <c r="C63" s="20" t="inlineStr">
        <is>
          <t>GO, bouw</t>
        </is>
      </c>
      <c r="D63" s="20" t="inlineStr">
        <is>
          <t>3D-laserscanners en meetsoftware</t>
        </is>
      </c>
      <c r="E63" s="20" t="inlineStr">
        <is>
          <t>Beurs okt. 2026</t>
        </is>
      </c>
      <c r="F63" s="20" t="inlineStr">
        <is>
          <t>Digital twins: partijen om te kennen (okt. 2026)</t>
        </is>
      </c>
      <c r="G63" s="20" t="inlineStr">
        <is>
          <t>v5</t>
        </is>
      </c>
    </row>
    <row r="64" ht="15" customHeight="1" s="15">
      <c r="A64" s="20" t="inlineStr">
        <is>
          <t>Bonsai, FreeCAD BIM (open source)</t>
        </is>
      </c>
      <c r="B64" s="20" t="inlineStr">
        <is>
          <t>BIM (open)</t>
        </is>
      </c>
      <c r="C64" s="20" t="inlineStr">
        <is>
          <t>Bouw</t>
        </is>
      </c>
      <c r="D64" s="20" t="inlineStr">
        <is>
          <t>Open-source BIM direct in IFC</t>
        </is>
      </c>
      <c r="E64" s="20" t="inlineStr">
        <is>
          <t>Buiten beurs</t>
        </is>
      </c>
      <c r="F64" s="20" t="inlineStr">
        <is>
          <t>Digital twins: partijen om te kennen (okt. 2026)</t>
        </is>
      </c>
      <c r="G64" s="20" t="inlineStr">
        <is>
          <t>v5</t>
        </is>
      </c>
    </row>
    <row r="65" ht="28.35" customHeight="1" s="15">
      <c r="A65" s="20" t="inlineStr">
        <is>
          <t>Envelio</t>
        </is>
      </c>
      <c r="B65" s="20" t="inlineStr">
        <is>
          <t>Operationele twin</t>
        </is>
      </c>
      <c r="C65" s="20" t="inlineStr">
        <is>
          <t>Energie (distributie)</t>
        </is>
      </c>
      <c r="D65" s="20" t="inlineStr">
        <is>
          <t>Intelligent Grid Platform; netaansluitingen en planning</t>
        </is>
      </c>
      <c r="E65" s="20" t="inlineStr">
        <is>
          <t>E.ON (DE, SE, CZ, PL); &gt;70 netbeheerders</t>
        </is>
      </c>
      <c r="F65" s="20" t="inlineStr">
        <is>
          <t>https://kurrant.com/kurrantly-news/e-on-deploys-digital-twin-to-support-germanys-energy-transition/</t>
        </is>
      </c>
      <c r="G65" s="20" t="inlineStr">
        <is>
          <t>v5</t>
        </is>
      </c>
    </row>
    <row r="66" ht="28.35" customHeight="1" s="15">
      <c r="A66" s="20" t="inlineStr">
        <is>
          <t>Kongsberg Digital</t>
        </is>
      </c>
      <c r="B66" s="20" t="inlineStr">
        <is>
          <t>Operationele twin</t>
        </is>
      </c>
      <c r="C66" s="20" t="inlineStr">
        <is>
          <t>Energie (distributie)</t>
        </is>
      </c>
      <c r="D66" s="20" t="inlineStr">
        <is>
          <t>Kognitwin Grid (SaaS)</t>
        </is>
      </c>
      <c r="E66" s="20" t="inlineStr">
        <is>
          <t>Tensio (NO)</t>
        </is>
      </c>
      <c r="F66" s="20" t="inlineStr">
        <is>
          <t>https://www.enlit.world/library/norway-s-tensio-to-trial-power-grid-digital-twin</t>
        </is>
      </c>
      <c r="G66" s="20" t="inlineStr">
        <is>
          <t>v5</t>
        </is>
      </c>
    </row>
    <row r="67" ht="41.75" customHeight="1" s="15">
      <c r="A67" s="20" t="inlineStr">
        <is>
          <t>Fugro (ROAMES)</t>
        </is>
      </c>
      <c r="B67" s="20" t="inlineStr">
        <is>
          <t>Asset-twin</t>
        </is>
      </c>
      <c r="C67" s="20" t="inlineStr">
        <is>
          <t>Energie (netten)</t>
        </is>
      </c>
      <c r="D67" s="20" t="inlineStr">
        <is>
          <t>Lidar-gebaseerde netwerktwin</t>
        </is>
      </c>
      <c r="E67" s="20" t="inlineStr">
        <is>
          <t>Counties Energy (NZ)</t>
        </is>
      </c>
      <c r="F67" s="20" t="inlineStr">
        <is>
          <t>https://www.fugro.com/expertise/case-studies/fugro-roames-delivers-digital-twin-of-new-zealand-power-grid-network</t>
        </is>
      </c>
      <c r="G67" s="20" t="inlineStr">
        <is>
          <t>v5</t>
        </is>
      </c>
    </row>
    <row r="68" ht="28.35" customHeight="1" s="15">
      <c r="A68" s="20" t="inlineStr">
        <is>
          <t>OPAL-RT</t>
        </is>
      </c>
      <c r="B68" s="20" t="inlineStr">
        <is>
          <t>Real-time simulatie</t>
        </is>
      </c>
      <c r="C68" s="20" t="inlineStr">
        <is>
          <t>Energie</t>
        </is>
      </c>
      <c r="D68" s="20" t="inlineStr">
        <is>
          <t>Real-time simulatoren voor grid-twins</t>
        </is>
      </c>
      <c r="E68" s="20" t="inlineStr">
        <is>
          <t>Southern Company (VS)</t>
        </is>
      </c>
      <c r="F68" s="20" t="inlineStr">
        <is>
          <t>https://www.enlit.world/library/southern-company-services-to-lead-digital-twin-for-cyber-resilience-project</t>
        </is>
      </c>
      <c r="G68" s="20" t="inlineStr">
        <is>
          <t>v5</t>
        </is>
      </c>
    </row>
    <row r="69" ht="28.35" customHeight="1" s="15">
      <c r="A69" s="20" t="inlineStr">
        <is>
          <t>Spectral (BRIGHTER, STELLAR)</t>
        </is>
      </c>
      <c r="B69" s="20" t="inlineStr">
        <is>
          <t>Platform + simulatie</t>
        </is>
      </c>
      <c r="C69" s="20" t="inlineStr">
        <is>
          <t>Energie, gebouwen</t>
        </is>
      </c>
      <c r="D69" s="20" t="inlineStr">
        <is>
          <t>Gebouwoptimalisatie en sturing van energiehubs met simulatiemodellen</t>
        </is>
      </c>
      <c r="E69" s="20" t="inlineStr">
        <is>
          <t>BECC, Republica, Greenchoice, Bouwinvest, Merin e.a. (&gt;20 use cases)</t>
        </is>
      </c>
      <c r="F69" s="20" t="inlineStr">
        <is>
          <t>Rapport datagovernance 2026, use cases P020-P049</t>
        </is>
      </c>
      <c r="G69" s="20" t="inlineStr">
        <is>
          <t>v7</t>
        </is>
      </c>
    </row>
    <row r="70" ht="28.35" customHeight="1" s="15">
      <c r="A70" s="20" t="inlineStr">
        <is>
          <t>ICR3ATE</t>
        </is>
      </c>
      <c r="B70" s="20" t="inlineStr">
        <is>
          <t>Twin-platform</t>
        </is>
      </c>
      <c r="C70" s="20" t="inlineStr">
        <is>
          <t>Energie (LS, gemeenschappen)</t>
        </is>
      </c>
      <c r="D70" s="20" t="inlineStr">
        <is>
          <t>LEO-platform met digital twins per aansluiting</t>
        </is>
      </c>
      <c r="E70" s="20" t="inlineStr">
        <is>
          <t>SBIR-project</t>
        </is>
      </c>
      <c r="F70" s="20" t="inlineStr">
        <is>
          <t>Rapport datagovernance 2026, use case P023</t>
        </is>
      </c>
      <c r="G70" s="20" t="inlineStr">
        <is>
          <t>v7</t>
        </is>
      </c>
    </row>
    <row r="71" ht="28.35" customHeight="1" s="15">
      <c r="A71" s="20" t="inlineStr">
        <is>
          <t>Yokogawa / Distro Energy</t>
        </is>
      </c>
      <c r="B71" s="20" t="inlineStr">
        <is>
          <t>Orchestratieplatform</t>
        </is>
      </c>
      <c r="C71" s="20" t="inlineStr">
        <is>
          <t>Energie (haven)</t>
        </is>
      </c>
      <c r="D71" s="20" t="inlineStr">
        <is>
          <t>Uitwisseling van elektriciteit, stoom en warmte tussen havenbedrijven (Starlings)</t>
        </is>
      </c>
      <c r="E71" s="20" t="inlineStr">
        <is>
          <t>Port of Rotterdam</t>
        </is>
      </c>
      <c r="F71" s="20" t="inlineStr">
        <is>
          <t>Rapport datagovernance 2026, use case P015</t>
        </is>
      </c>
      <c r="G71" s="20" t="inlineStr">
        <is>
          <t>v7</t>
        </is>
      </c>
    </row>
  </sheetData>
  <autoFilter ref="A1:G71"/>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10.xml><?xml version="1.0" encoding="utf-8"?>
<worksheet xmlns="http://schemas.openxmlformats.org/spreadsheetml/2006/main">
  <sheetPr filterMode="0">
    <outlinePr summaryBelow="1" summaryRight="1"/>
    <pageSetUpPr fitToPage="0"/>
  </sheetPr>
  <dimension ref="A1:F6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30" customWidth="1" style="14" min="1" max="2"/>
    <col width="55" customWidth="1" style="14" min="3" max="4"/>
    <col width="32" customWidth="1" style="14" min="5" max="5"/>
    <col width="18" customWidth="1" style="14" min="6" max="6"/>
  </cols>
  <sheetData>
    <row r="1" ht="31.5" customHeight="1" s="15">
      <c r="A1" s="21" t="inlineStr">
        <is>
          <t>Laag / band</t>
        </is>
      </c>
      <c r="B1" s="21" t="inlineStr">
        <is>
          <t>Component</t>
        </is>
      </c>
      <c r="C1" s="21" t="inlineStr">
        <is>
          <t>Beschrijving</t>
        </is>
      </c>
      <c r="D1" s="21" t="inlineStr">
        <is>
          <t>Relaties</t>
        </is>
      </c>
      <c r="E1" s="21" t="inlineStr">
        <is>
          <t>Herkomst</t>
        </is>
      </c>
      <c r="F1" s="21" t="inlineStr">
        <is>
          <t>Voorbeelden (ID's)</t>
        </is>
      </c>
    </row>
    <row r="2" ht="41.75" customHeight="1" s="15">
      <c r="A2" s="20" t="inlineStr">
        <is>
          <t>Opgave- &amp; besluitvormingslaag</t>
        </is>
      </c>
      <c r="B2" s="20" t="inlineStr">
        <is>
          <t>Maatschappelijke opgaven &amp; use cases</t>
        </is>
      </c>
      <c r="C2" s="20" t="inlineStr">
        <is>
          <t>De opgaven waarvoor de twin wordt ingezet: netcongestie, warmtetransitie, woningbouw, klimaatadaptatie, ruimtelijke inpassing.</t>
        </is>
      </c>
      <c r="D2" s="20" t="inlineStr">
        <is>
          <t>Bepalen welke toepassingen, modellen en data nodig zijn; worden getoetst aan publieke waarden en het afwegingskader.</t>
        </is>
      </c>
      <c r="E2" s="20" t="inlineStr">
        <is>
          <t>DTFL (use cases), nDTFL, NEDRA, NPE</t>
        </is>
      </c>
      <c r="F2" s="20" t="inlineStr">
        <is>
          <t>DT-001, DT-049, DT-090</t>
        </is>
      </c>
    </row>
    <row r="3" ht="41.75" customHeight="1" s="15">
      <c r="A3" s="20" t="inlineStr">
        <is>
          <t>Opgave- &amp; besluitvormingslaag</t>
        </is>
      </c>
      <c r="B3" s="20" t="inlineStr">
        <is>
          <t>Besluitprocessen</t>
        </is>
      </c>
      <c r="C3" s="20" t="inlineStr">
        <is>
          <t>Beleids-, plan- en operationele processen waarin de twin een rol speelt (omgevingsvisie, programmering, netplanning, congestiemanagement).</t>
        </is>
      </c>
      <c r="D3" s="20" t="inlineStr">
        <is>
          <t>Consumeren scenario's en inzichten uit de toepassingslaag; leveren terugkoppeling op bruikbaarheid.</t>
        </is>
      </c>
      <c r="E3" s="20" t="inlineStr">
        <is>
          <t>DTFL (doelarchitectuur), provincie Utrecht-bouwblokken</t>
        </is>
      </c>
      <c r="F3" s="20" t="inlineStr">
        <is>
          <t>DT-095, DT-046</t>
        </is>
      </c>
    </row>
    <row r="4" ht="41.75" customHeight="1" s="15">
      <c r="A4" s="20" t="inlineStr">
        <is>
          <t>Opgave- &amp; besluitvormingslaag</t>
        </is>
      </c>
      <c r="B4" s="20" t="inlineStr">
        <is>
          <t>Actoren &amp; rollen</t>
        </is>
      </c>
      <c r="C4" s="20" t="inlineStr">
        <is>
          <t>Overheden, netbeheerders, marktpartijen, bewoners en kennisinstellingen, met rollen als opdrachtgever, data-aanbieder, twin-eigenaar, gebruiker en toezichthouder.</t>
        </is>
      </c>
      <c r="D4" s="20" t="inlineStr">
        <is>
          <t>Zijn de bron van rechten (IAA) en van menselijk toezicht; worden vastgelegd in stelselafspraken.</t>
        </is>
      </c>
      <c r="E4" s="20" t="inlineStr">
        <is>
          <t>DTFL, NEDRA (rollenmodel), DSGO</t>
        </is>
      </c>
      <c r="F4" s="20" t="inlineStr">
        <is>
          <t>DT-003, DT-008</t>
        </is>
      </c>
    </row>
    <row r="5" ht="41.75" customHeight="1" s="15">
      <c r="A5" s="20" t="inlineStr">
        <is>
          <t>Opgave- &amp; besluitvormingslaag</t>
        </is>
      </c>
      <c r="B5" s="20" t="inlineStr">
        <is>
          <t>Waardeketen / klantreis</t>
        </is>
      </c>
      <c r="C5" s="20" t="inlineStr">
        <is>
          <t>De stappen waarlangs een opgave door een twin wordt ondersteund, van vraag tot besluit en monitoring (bijvoorbeeld de vijf ORTESE-stappen).</t>
        </is>
      </c>
      <c r="D5" s="20" t="inlineStr">
        <is>
          <t>Ordent de inzet van componenten per stap; maakt waarde per actor zichtbaar.</t>
        </is>
      </c>
      <c r="E5" s="20" t="inlineStr">
        <is>
          <t>NEDRA/ORTESE, ENTSO-E use cases</t>
        </is>
      </c>
      <c r="F5" s="20" t="inlineStr">
        <is>
          <t>DT-028, DT-099</t>
        </is>
      </c>
    </row>
    <row r="6" ht="41.75" customHeight="1" s="15">
      <c r="A6" s="20" t="inlineStr">
        <is>
          <t>Opgave- &amp; besluitvormingslaag</t>
        </is>
      </c>
      <c r="B6" s="20" t="inlineStr">
        <is>
          <t>Publieke waarden &amp; afwegingskader</t>
        </is>
      </c>
      <c r="C6" s="20" t="inlineStr">
        <is>
          <t>Expliciete waarden (transparantie, inclusie, privacy, rechtvaardigheid) die bij het gebruik van de twin worden gewogen.</t>
        </is>
      </c>
      <c r="D6" s="20" t="inlineStr">
        <is>
          <t>Sturen de principes in de stelselband; worden getoetst bij validatie en participatie.</t>
        </is>
      </c>
      <c r="E6" s="20" t="inlineStr">
        <is>
          <t>DTFL leidende principes, Rathenau, Gemini Principles</t>
        </is>
      </c>
      <c r="F6" s="20" t="inlineStr">
        <is>
          <t>DT-094, DT-102</t>
        </is>
      </c>
    </row>
    <row r="7" ht="28.35" customHeight="1" s="15">
      <c r="A7" s="20" t="inlineStr">
        <is>
          <t>Toepassings- &amp; interactielaag</t>
        </is>
      </c>
      <c r="B7" s="20" t="inlineStr">
        <is>
          <t>Viewers 2D/3D/4D</t>
        </is>
      </c>
      <c r="C7" s="20" t="inlineStr">
        <is>
          <t>Kaart- en 3D-weergave van objecten, netten en scenario's in ruimte en tijd.</t>
        </is>
      </c>
      <c r="D7" s="20" t="inlineStr">
        <is>
          <t>Lezen de representatie en semantiek; tonen resultaten uit de analyselaag.</t>
        </is>
      </c>
      <c r="E7" s="20" t="inlineStr">
        <is>
          <t>NLDT, Netherlands3D, PLATEAU, CUT</t>
        </is>
      </c>
      <c r="F7" s="20" t="inlineStr">
        <is>
          <t>DT-071, DT-072, DT-140</t>
        </is>
      </c>
    </row>
    <row r="8" ht="28.35" customHeight="1" s="15">
      <c r="A8" s="20" t="inlineStr">
        <is>
          <t>Toepassings- &amp; interactielaag</t>
        </is>
      </c>
      <c r="B8" s="20" t="inlineStr">
        <is>
          <t>Dashboards &amp; monitoring-UI</t>
        </is>
      </c>
      <c r="C8" s="20" t="inlineStr">
        <is>
          <t>Overzichten van toestand, KPI's en signalen voor beleid of operatie.</t>
        </is>
      </c>
      <c r="D8" s="20" t="inlineStr">
        <is>
          <t>Lezen toestand en historie; tonen voorspellingen en alarmen.</t>
        </is>
      </c>
      <c r="E8" s="20" t="inlineStr">
        <is>
          <t>DTFL, Den Haag, Victoria</t>
        </is>
      </c>
      <c r="F8" s="20" t="inlineStr">
        <is>
          <t>DT-052, DT-137</t>
        </is>
      </c>
    </row>
    <row r="9" ht="28.35" customHeight="1" s="15">
      <c r="A9" s="20" t="inlineStr">
        <is>
          <t>Toepassings- &amp; interactielaag</t>
        </is>
      </c>
      <c r="B9" s="20" t="inlineStr">
        <is>
          <t>Scenario- en participatieomgevingen</t>
        </is>
      </c>
      <c r="C9" s="20" t="inlineStr">
        <is>
          <t>Omgevingen waarin gebruikers zelf 'wat als'-vragen stellen en samen varianten vergelijken, ook met bewoners.</t>
        </is>
      </c>
      <c r="D9" s="20" t="inlineStr">
        <is>
          <t>Starten rekenmodellen in de analyselaag; leggen keuzes en aannames vast voor herleidbaarheid.</t>
        </is>
      </c>
      <c r="E9" s="20" t="inlineStr">
        <is>
          <t>DTFL, DUET, HOLON, ETM</t>
        </is>
      </c>
      <c r="F9" s="20" t="inlineStr">
        <is>
          <t>DT-031, DT-064, DT-112, DT-146</t>
        </is>
      </c>
    </row>
    <row r="10" ht="28.35" customHeight="1" s="15">
      <c r="A10" s="20" t="inlineStr">
        <is>
          <t>Toepassings- &amp; interactielaag</t>
        </is>
      </c>
      <c r="B10" s="20" t="inlineStr">
        <is>
          <t>Controlekamer-UI</t>
        </is>
      </c>
      <c r="C10" s="20" t="inlineStr">
        <is>
          <t>Operationele interfaces voor netbeheerders en operators, inclusief beslisondersteuning.</t>
        </is>
      </c>
      <c r="D10" s="20" t="inlineStr">
        <is>
          <t>Lezen realtime toestand; sturen via de sturingscomponent met menselijke bevestiging.</t>
        </is>
      </c>
      <c r="E10" s="20" t="inlineStr">
        <is>
          <t>Control Room of the Future, TwinEU</t>
        </is>
      </c>
      <c r="F10" s="20" t="inlineStr">
        <is>
          <t>DT-014, DT-098</t>
        </is>
      </c>
    </row>
    <row r="11" ht="28.35" customHeight="1" s="15">
      <c r="A11" s="20" t="inlineStr">
        <is>
          <t>Toepassings- &amp; interactielaag</t>
        </is>
      </c>
      <c r="B11" s="20" t="inlineStr">
        <is>
          <t>Twin-diensten &amp; API's voor derden</t>
        </is>
      </c>
      <c r="C11" s="20" t="inlineStr">
        <is>
          <t>Gepubliceerde diensten waarmee andere twins, apps of marktpartijen functies en resultaten afnemen.</t>
        </is>
      </c>
      <c r="D11" s="20" t="inlineStr">
        <is>
          <t>Worden ontsloten via de federatieve catalogus; vallen onder aansluitvoorwaarden.</t>
        </is>
      </c>
      <c r="E11" s="20" t="inlineStr">
        <is>
          <t>DTFL (service-oriëntatie), DTaaS, DDTAS</t>
        </is>
      </c>
      <c r="F11" s="20" t="inlineStr">
        <is>
          <t>DT-017, DT-092</t>
        </is>
      </c>
    </row>
    <row r="12" ht="28.35" customHeight="1" s="15">
      <c r="A12" s="20" t="inlineStr">
        <is>
          <t>Toepassings- &amp; interactielaag</t>
        </is>
      </c>
      <c r="B12" s="20" t="inlineStr">
        <is>
          <t>AI-assistenten</t>
        </is>
      </c>
      <c r="C12" s="20" t="inlineStr">
        <is>
          <t>Conversationele toegang tot twin-data en modellen, bijvoorbeeld om scenario's uit te leggen.</t>
        </is>
      </c>
      <c r="D12" s="20" t="inlineStr">
        <is>
          <t>Volgen de AI-referentiearchitectuur; gebruiken de semantieklaag voor grounding.</t>
        </is>
      </c>
      <c r="E12" s="20" t="inlineStr">
        <is>
          <t>AI-RA (bijlage), DTC (Intelligence)</t>
        </is>
      </c>
      <c r="F12" s="20" t="inlineStr">
        <is>
          <t>-</t>
        </is>
      </c>
    </row>
    <row r="13" ht="41.75" customHeight="1" s="15">
      <c r="A13" s="20" t="inlineStr">
        <is>
          <t>Analyse-, simulatie- &amp; sturingslaag</t>
        </is>
      </c>
      <c r="B13" s="20" t="inlineStr">
        <is>
          <t>Rekenmodellen &amp; simulatie</t>
        </is>
      </c>
      <c r="C13" s="20" t="inlineStr">
        <is>
          <t>Fysische en techno-economische modellen: loadflow, energiesysteem-, warmte-, gebouw-, mobiliteits- en klimaatmodellen.</t>
        </is>
      </c>
      <c r="D13" s="20" t="inlineStr">
        <is>
          <t>Lezen de representatie en dataproducten; leveren scenario-uitkomsten aan de toepassingslaag.</t>
        </is>
      </c>
      <c r="E13" s="20" t="inlineStr">
        <is>
          <t>nDTFL (rekenmodellen), ESDL/ESSIM, PGM, PowSyBl</t>
        </is>
      </c>
      <c r="F13" s="20" t="inlineStr">
        <is>
          <t>DT-063, DT-069, DT-070</t>
        </is>
      </c>
    </row>
    <row r="14" ht="28.35" customHeight="1" s="15">
      <c r="A14" s="20" t="inlineStr">
        <is>
          <t>Analyse-, simulatie- &amp; sturingslaag</t>
        </is>
      </c>
      <c r="B14" s="20" t="inlineStr">
        <is>
          <t>Voorspellen (AI/ML)</t>
        </is>
      </c>
      <c r="C14" s="20" t="inlineStr">
        <is>
          <t>Prognoses van vraag, aanbod, belasting en storingen.</t>
        </is>
      </c>
      <c r="D14" s="20" t="inlineStr">
        <is>
          <t>Getraind op historie in de datalaag; voeden scenario's en sturing.</t>
        </is>
      </c>
      <c r="E14" s="20" t="inlineStr">
        <is>
          <t>OpenSTEF, DTC (Intelligence)</t>
        </is>
      </c>
      <c r="F14" s="20" t="inlineStr">
        <is>
          <t>DT-069, DT-039, DT-056</t>
        </is>
      </c>
    </row>
    <row r="15" ht="28.35" customHeight="1" s="15">
      <c r="A15" s="20" t="inlineStr">
        <is>
          <t>Analyse-, simulatie- &amp; sturingslaag</t>
        </is>
      </c>
      <c r="B15" s="20" t="inlineStr">
        <is>
          <t>Scenario's &amp; recepten</t>
        </is>
      </c>
      <c r="C15" s="20" t="inlineStr">
        <is>
          <t>Vastgelegde combinaties van aannames, modellen en data voor een terugkerende vraag.</t>
        </is>
      </c>
      <c r="D15" s="20" t="inlineStr">
        <is>
          <t>Worden beheerd in het modelregister; zijn herbruikbaar over twins heen.</t>
        </is>
      </c>
      <c r="E15" s="20" t="inlineStr">
        <is>
          <t>DTFL (recepten), NPE-scenario's</t>
        </is>
      </c>
      <c r="F15" s="20" t="inlineStr">
        <is>
          <t>DT-001, DT-064</t>
        </is>
      </c>
    </row>
    <row r="16" ht="28.35" customHeight="1" s="15">
      <c r="A16" s="20" t="inlineStr">
        <is>
          <t>Analyse-, simulatie- &amp; sturingslaag</t>
        </is>
      </c>
      <c r="B16" s="20" t="inlineStr">
        <is>
          <t>Optimalisatie</t>
        </is>
      </c>
      <c r="C16" s="20" t="inlineStr">
        <is>
          <t>Zoeken naar beste varianten of inzet (energiehubs, flex, tracés).</t>
        </is>
      </c>
      <c r="D16" s="20" t="inlineStr">
        <is>
          <t>Gebruikt simulatie als evaluatiefunctie; levert voorstellen aan besluitvorming of sturing.</t>
        </is>
      </c>
      <c r="E16" s="20" t="inlineStr">
        <is>
          <t>SYMPHONIE, Energy Hub Optimizer</t>
        </is>
      </c>
      <c r="F16" s="20" t="inlineStr">
        <is>
          <t>DT-033, DT-059</t>
        </is>
      </c>
    </row>
    <row r="17" ht="28.35" customHeight="1" s="15">
      <c r="A17" s="20" t="inlineStr">
        <is>
          <t>Analyse-, simulatie- &amp; sturingslaag</t>
        </is>
      </c>
      <c r="B17" s="20" t="inlineStr">
        <is>
          <t>Co-simulatie &amp; modelkoppeling</t>
        </is>
      </c>
      <c r="C17" s="20" t="inlineStr">
        <is>
          <t>Koppelen van modellen over domeinen en schalen (elektriciteit, warmte, gebouwen, mobiliteit).</t>
        </is>
      </c>
      <c r="D17" s="20" t="inlineStr">
        <is>
          <t>Wisselt tussentijdse toestand uit via afgesproken interfaces en semantiek.</t>
        </is>
      </c>
      <c r="E17" s="20" t="inlineStr">
        <is>
          <t>ESSIM, MIMs Plus, NESO VES</t>
        </is>
      </c>
      <c r="F17" s="20" t="inlineStr">
        <is>
          <t>DT-063, DT-130</t>
        </is>
      </c>
    </row>
    <row r="18" ht="28.35" customHeight="1" s="15">
      <c r="A18" s="20" t="inlineStr">
        <is>
          <t>Analyse-, simulatie- &amp; sturingslaag</t>
        </is>
      </c>
      <c r="B18" s="20" t="inlineStr">
        <is>
          <t>Modelregister</t>
        </is>
      </c>
      <c r="C18" s="20" t="inlineStr">
        <is>
          <t>Catalogus van modellen met versie, geldigheidsdomein, validatiestatus en eigenaar.</t>
        </is>
      </c>
      <c r="D18" s="20" t="inlineStr">
        <is>
          <t>Wordt gepubliceerd in de federatieve catalogus; voedt validatie en herleidbaarheid.</t>
        </is>
      </c>
      <c r="E18" s="20" t="inlineStr">
        <is>
          <t>DTFL (model als product), ENTSO-E</t>
        </is>
      </c>
      <c r="F18" s="20" t="inlineStr">
        <is>
          <t>DT-099</t>
        </is>
      </c>
    </row>
    <row r="19" ht="28.35" customHeight="1" s="15">
      <c r="A19" s="20" t="inlineStr">
        <is>
          <t>Analyse-, simulatie- &amp; sturingslaag</t>
        </is>
      </c>
      <c r="B19" s="20" t="inlineStr">
        <is>
          <t>Sturing naar het fysieke systeem</t>
        </is>
      </c>
      <c r="C19" s="20" t="inlineStr">
        <is>
          <t>Terugkoppeling van besluiten naar assets (setpoints, schakelacties, flexaanvragen).</t>
        </is>
      </c>
      <c r="D19" s="20" t="inlineStr">
        <is>
          <t>Alleen bij een volwaardige tweeling; altijd met mensentoezicht naar risico en cyberbeveiliging.</t>
        </is>
      </c>
      <c r="E19" s="20" t="inlineStr">
        <is>
          <t>Kritzinger (tweeling), SGAM (functie), GRID-PRO</t>
        </is>
      </c>
      <c r="F19" s="20" t="inlineStr">
        <is>
          <t>DT-104, DT-043</t>
        </is>
      </c>
    </row>
    <row r="20" ht="28.35" customHeight="1" s="15">
      <c r="A20" s="20" t="inlineStr">
        <is>
          <t>Representatie- &amp; synchronisatielaag (twin-kern)</t>
        </is>
      </c>
      <c r="B20" s="20" t="inlineStr">
        <is>
          <t>Systeem- en objectmodel</t>
        </is>
      </c>
      <c r="C20" s="20" t="inlineStr">
        <is>
          <t>Samenhangende beschrijving van objecten, netten, gebouwen en hun onderlinge relaties.</t>
        </is>
      </c>
      <c r="D20" s="20" t="inlineStr">
        <is>
          <t>Gebaseerd op de informatiemodellen uit de semantieklaag; gevoed uit dataproducten.</t>
        </is>
      </c>
      <c r="E20" s="20" t="inlineStr">
        <is>
          <t>DTFL, ISO/IEC 30173, CIM, IFC</t>
        </is>
      </c>
      <c r="F20" s="20" t="inlineStr">
        <is>
          <t>DT-065, DT-074</t>
        </is>
      </c>
    </row>
    <row r="21" ht="28.35" customHeight="1" s="15">
      <c r="A21" s="20" t="inlineStr">
        <is>
          <t>Representatie- &amp; synchronisatielaag (twin-kern)</t>
        </is>
      </c>
      <c r="B21" s="20" t="inlineStr">
        <is>
          <t>Toestand &amp; historie (4D)</t>
        </is>
      </c>
      <c r="C21" s="20" t="inlineStr">
        <is>
          <t>De actuele toestand en de tijdreeks van eerdere toestanden en plannen.</t>
        </is>
      </c>
      <c r="D21" s="20" t="inlineStr">
        <is>
          <t>Bijgewerkt via synchronisatie; gelezen door analyse en toepassing.</t>
        </is>
      </c>
      <c r="E21" s="20" t="inlineStr">
        <is>
          <t>nDTFL (4D), DIN SPEC 91607</t>
        </is>
      </c>
      <c r="F21" s="20" t="inlineStr">
        <is>
          <t>DT-035, DT-061</t>
        </is>
      </c>
    </row>
    <row r="22" ht="41.75" customHeight="1" s="15">
      <c r="A22" s="20" t="inlineStr">
        <is>
          <t>Representatie- &amp; synchronisatielaag (twin-kern)</t>
        </is>
      </c>
      <c r="B22" s="20" t="inlineStr">
        <is>
          <t>Synchronisatie fysiek-digitaal</t>
        </is>
      </c>
      <c r="C22" s="20" t="inlineStr">
        <is>
          <t>Mechanismen en frequentie waarmee de twin wordt bijgewerkt: periodiek (model), automatisch eenrichting (schaduw) of tweerichting (tweeling).</t>
        </is>
      </c>
      <c r="D22" s="20" t="inlineStr">
        <is>
          <t>Leest uit streaming en ingestie; bepaalt de positie van de twin in het groeipad (A.8).</t>
        </is>
      </c>
      <c r="E22" s="20" t="inlineStr">
        <is>
          <t>Kritzinger, ENTSO-E-volwassenheid, DTC</t>
        </is>
      </c>
      <c r="F22" s="20" t="inlineStr">
        <is>
          <t>DT-034, DT-134</t>
        </is>
      </c>
    </row>
    <row r="23" ht="28.35" customHeight="1" s="15">
      <c r="A23" s="20" t="inlineStr">
        <is>
          <t>Representatie- &amp; synchronisatielaag (twin-kern)</t>
        </is>
      </c>
      <c r="B23" s="20" t="inlineStr">
        <is>
          <t>Configuratie- &amp; variantbeheer</t>
        </is>
      </c>
      <c r="C23" s="20" t="inlineStr">
        <is>
          <t>Beheer van varianten, plannen en scenario-toestanden naast de werkelijkheid.</t>
        </is>
      </c>
      <c r="D23" s="20" t="inlineStr">
        <is>
          <t>Maakt 'wat als' mogelijk zonder de werkelijkheid te overschrijven; voedt scenario's.</t>
        </is>
      </c>
      <c r="E23" s="20" t="inlineStr">
        <is>
          <t>buildingSMART, ESDL</t>
        </is>
      </c>
      <c r="F23" s="20" t="inlineStr">
        <is>
          <t>DT-063</t>
        </is>
      </c>
    </row>
    <row r="24" ht="28.35" customHeight="1" s="15">
      <c r="A24" s="20" t="inlineStr">
        <is>
          <t>Representatie- &amp; synchronisatielaag (twin-kern)</t>
        </is>
      </c>
      <c r="B24" s="20" t="inlineStr">
        <is>
          <t>Validatie &amp; kalibratie</t>
        </is>
      </c>
      <c r="C24" s="20" t="inlineStr">
        <is>
          <t>Toetsing of de representatie en modellen voldoende overeenkomen met de werkelijkheid voor het beoogde gebruik.</t>
        </is>
      </c>
      <c r="D24" s="20" t="inlineStr">
        <is>
          <t>Resultaat wordt vastgelegd als metadata; voedt certificering in de stelselband.</t>
        </is>
      </c>
      <c r="E24" s="20" t="inlineStr">
        <is>
          <t>DTFL (kwaliteit), Gemini, NESO Common Framework</t>
        </is>
      </c>
      <c r="F24" s="20" t="inlineStr">
        <is>
          <t>DT-130</t>
        </is>
      </c>
    </row>
    <row r="25" ht="28.35" customHeight="1" s="15">
      <c r="A25" s="20" t="inlineStr">
        <is>
          <t>Semantiek- &amp; kennislaag</t>
        </is>
      </c>
      <c r="B25" s="20" t="inlineStr">
        <is>
          <t>Begrippenkader</t>
        </is>
      </c>
      <c r="C25" s="20" t="inlineStr">
        <is>
          <t>Eenduidige definities van begrippen (wat is een aansluiting, een gebouw, een energiehub).</t>
        </is>
      </c>
      <c r="D25" s="20" t="inlineStr">
        <is>
          <t>Basis voor informatiemodellen; gepubliceerd in de begrippencatalogus (NL-SBB/SKOS).</t>
        </is>
      </c>
      <c r="E25" s="20" t="inlineStr">
        <is>
          <t>DTFL (begrippencatalogus), NEDRA</t>
        </is>
      </c>
      <c r="F25" s="20" t="inlineStr">
        <is>
          <t>DT-003</t>
        </is>
      </c>
    </row>
    <row r="26" ht="28.35" customHeight="1" s="15">
      <c r="A26" s="20" t="inlineStr">
        <is>
          <t>Semantiek- &amp; kennislaag</t>
        </is>
      </c>
      <c r="B26" s="20" t="inlineStr">
        <is>
          <t>Informatiemodellen &amp; ontologieën</t>
        </is>
      </c>
      <c r="C26" s="20" t="inlineStr">
        <is>
          <t>Gestandaardiseerde modellen per domein: CIM/CGMES, ESDL, NBility, CityGML, IFC, SAREF, IMBAG/IMGeo, MIM-conform.</t>
        </is>
      </c>
      <c r="D26" s="20" t="inlineStr">
        <is>
          <t>Bepalen structuur van dataproducten en representatie; beheerd in de ontologiebibliotheek.</t>
        </is>
      </c>
      <c r="E26" s="20" t="inlineStr">
        <is>
          <t>DTFL, NEDRA, MIMs Plus, OGC, buildingSMART</t>
        </is>
      </c>
      <c r="F26" s="20" t="inlineStr">
        <is>
          <t>DT-063, DT-065, DT-143, DT-145</t>
        </is>
      </c>
    </row>
    <row r="27" ht="28.35" customHeight="1" s="15">
      <c r="A27" s="20" t="inlineStr">
        <is>
          <t>Semantiek- &amp; kennislaag</t>
        </is>
      </c>
      <c r="B27" s="20" t="inlineStr">
        <is>
          <t>Kennisgraaf / verwantschappen</t>
        </is>
      </c>
      <c r="C27" s="20" t="inlineStr">
        <is>
          <t>Relaties tussen objecten uit verschillende bronnen (dit gebouw hoort bij deze aansluiting en dit net).</t>
        </is>
      </c>
      <c r="D27" s="20" t="inlineStr">
        <is>
          <t>Verbindt dataproducten over domeinen; voedt representatie en AI-grounding.</t>
        </is>
      </c>
      <c r="E27" s="20" t="inlineStr">
        <is>
          <t>DTFL (verwantschappenbibliotheek), Gemini IMF</t>
        </is>
      </c>
      <c r="F27" s="20" t="inlineStr">
        <is>
          <t>-</t>
        </is>
      </c>
    </row>
    <row r="28" ht="28.35" customHeight="1" s="15">
      <c r="A28" s="20" t="inlineStr">
        <is>
          <t>Semantiek- &amp; kennislaag</t>
        </is>
      </c>
      <c r="B28" s="20" t="inlineStr">
        <is>
          <t>Mappings &amp; vertalingen</t>
        </is>
      </c>
      <c r="C28" s="20" t="inlineStr">
        <is>
          <t>Vastgelegde vertalingen tussen modellen (bijvoorbeeld CIM naar ESDL, IFC naar CityGML).</t>
        </is>
      </c>
      <c r="D28" s="20" t="inlineStr">
        <is>
          <t>Maakt co-simulatie en federatie mogelijk zonder één verplicht model.</t>
        </is>
      </c>
      <c r="E28" s="20" t="inlineStr">
        <is>
          <t>NEDRA, ENTSO-E (federated), MIMs</t>
        </is>
      </c>
      <c r="F28" s="20" t="inlineStr">
        <is>
          <t>-</t>
        </is>
      </c>
    </row>
    <row r="29" ht="28.35" customHeight="1" s="15">
      <c r="A29" s="20" t="inlineStr">
        <is>
          <t>Semantiek- &amp; kennislaag</t>
        </is>
      </c>
      <c r="B29" s="20" t="inlineStr">
        <is>
          <t>Referentieobjecten &amp; identificatie</t>
        </is>
      </c>
      <c r="C29" s="20" t="inlineStr">
        <is>
          <t>Duurzame identificatoren voor objecten (BAG-id, EAN, net-id) zodat bronnen te koppelen zijn.</t>
        </is>
      </c>
      <c r="D29" s="20" t="inlineStr">
        <is>
          <t>Gebruikt door ingestie en kennisgraaf; afgestemd met basisregistraties.</t>
        </is>
      </c>
      <c r="E29" s="20" t="inlineStr">
        <is>
          <t>DTFL (identificatie), DSGO</t>
        </is>
      </c>
      <c r="F29" s="20" t="inlineStr">
        <is>
          <t>DT-074, DT-008</t>
        </is>
      </c>
    </row>
    <row r="30" ht="28.35" customHeight="1" s="15">
      <c r="A30" s="20" t="inlineStr">
        <is>
          <t>Data- &amp; dataproductlaag</t>
        </is>
      </c>
      <c r="B30" s="20" t="inlineStr">
        <is>
          <t>Bronnen &amp; basisregistraties</t>
        </is>
      </c>
      <c r="C30" s="20" t="inlineStr">
        <is>
          <t>BGT, BRT, BAG, BRO, BRK, beeldmateriaal, 3D Basisvoorziening; netbeheerdersdata, meet- en marktdata, BIM-modellen.</t>
        </is>
      </c>
      <c r="D30" s="20" t="inlineStr">
        <is>
          <t>Leveren aan ingestie en dataproducten; blijven onder beheer van de bronhouder.</t>
        </is>
      </c>
      <c r="E30" s="20" t="inlineStr">
        <is>
          <t>DTFL, nDTFL, Energie Dataportaal</t>
        </is>
      </c>
      <c r="F30" s="20" t="inlineStr">
        <is>
          <t>DT-067, DT-074, DT-075</t>
        </is>
      </c>
    </row>
    <row r="31" ht="15" customHeight="1" s="15">
      <c r="A31" s="20" t="inlineStr">
        <is>
          <t>Data- &amp; dataproductlaag</t>
        </is>
      </c>
      <c r="B31" s="20" t="inlineStr">
        <is>
          <t>Ingestie &amp; streaming</t>
        </is>
      </c>
      <c r="C31" s="20" t="inlineStr">
        <is>
          <t>Periodieke en realtime aanvoer (batch, events, IoT-streams).</t>
        </is>
      </c>
      <c r="D31" s="20" t="inlineStr">
        <is>
          <t>Voedt toestand en historie; past kwaliteitscontroles toe.</t>
        </is>
      </c>
      <c r="E31" s="20" t="inlineStr">
        <is>
          <t>DTFL, DTC (Data Services)</t>
        </is>
      </c>
      <c r="F31" s="20" t="inlineStr">
        <is>
          <t>DT-035, DT-061</t>
        </is>
      </c>
    </row>
    <row r="32" ht="28.35" customHeight="1" s="15">
      <c r="A32" s="20" t="inlineStr">
        <is>
          <t>Data- &amp; dataproductlaag</t>
        </is>
      </c>
      <c r="B32" s="20" t="inlineStr">
        <is>
          <t>Dataproducten met self-description</t>
        </is>
      </c>
      <c r="C32" s="20" t="inlineStr">
        <is>
          <t>Data aangeboden als product met eigenaar, metadata, gebruiksvoorwaarden en servicelevel.</t>
        </is>
      </c>
      <c r="D32" s="20" t="inlineStr">
        <is>
          <t>Worden gepubliceerd in de federatieve catalogus; gebruikt door alle lagen erboven.</t>
        </is>
      </c>
      <c r="E32" s="20" t="inlineStr">
        <is>
          <t>DTFL (data als product), data mesh, IDS/Gaia-X</t>
        </is>
      </c>
      <c r="F32" s="20" t="inlineStr">
        <is>
          <t>DT-067, DT-068</t>
        </is>
      </c>
    </row>
    <row r="33" ht="28.35" customHeight="1" s="15">
      <c r="A33" s="20" t="inlineStr">
        <is>
          <t>Data- &amp; dataproductlaag</t>
        </is>
      </c>
      <c r="B33" s="20" t="inlineStr">
        <is>
          <t>Datakwaliteit &amp; SLO's</t>
        </is>
      </c>
      <c r="C33" s="20" t="inlineStr">
        <is>
          <t>Afgesproken kwaliteitsniveaus (actualiteit, volledigheid, nauwkeurigheid) en de meting daarvan.</t>
        </is>
      </c>
      <c r="D33" s="20" t="inlineStr">
        <is>
          <t>Vastgelegd in het dataproduct; bewaakt door compliance en monitoring.</t>
        </is>
      </c>
      <c r="E33" s="20" t="inlineStr">
        <is>
          <t>DTFL (kwaliteit data), Het Normo</t>
        </is>
      </c>
      <c r="F33" s="20" t="inlineStr">
        <is>
          <t>DT-066</t>
        </is>
      </c>
    </row>
    <row r="34" ht="28.35" customHeight="1" s="15">
      <c r="A34" s="20" t="inlineStr">
        <is>
          <t>Data- &amp; dataproductlaag</t>
        </is>
      </c>
      <c r="B34" s="20" t="inlineStr">
        <is>
          <t>Lineage &amp; herkomst</t>
        </is>
      </c>
      <c r="C34" s="20" t="inlineStr">
        <is>
          <t>Vastlegging van herkomst en bewerkingen van data tot in scenario-uitkomsten.</t>
        </is>
      </c>
      <c r="D34" s="20" t="inlineStr">
        <is>
          <t>Maakt resultaten herleidbaar; nodig voor validatie en aansprakelijkheid.</t>
        </is>
      </c>
      <c r="E34" s="20" t="inlineStr">
        <is>
          <t>DTFL (data lineage)</t>
        </is>
      </c>
      <c r="F34" s="20" t="inlineStr">
        <is>
          <t>-</t>
        </is>
      </c>
    </row>
    <row r="35" ht="28.35" customHeight="1" s="15">
      <c r="A35" s="20" t="inlineStr">
        <is>
          <t>Data- &amp; dataproductlaag</t>
        </is>
      </c>
      <c r="B35" s="20" t="inlineStr">
        <is>
          <t>Dataspace-connectoren</t>
        </is>
      </c>
      <c r="C35" s="20" t="inlineStr">
        <is>
          <t>Technische koppelpunten waarmee data onder voorwaarden tussen partijen wordt gedeeld.</t>
        </is>
      </c>
      <c r="D35" s="20" t="inlineStr">
        <is>
          <t>Gebruiken trust framework en IAA; sluiten aan op Europese dataspaces.</t>
        </is>
      </c>
      <c r="E35" s="20" t="inlineStr">
        <is>
          <t>IDS/Gaia-X, CEEDS, DSGO</t>
        </is>
      </c>
      <c r="F35" s="20" t="inlineStr">
        <is>
          <t>DT-068, DT-108, DT-008</t>
        </is>
      </c>
    </row>
    <row r="36" ht="28.35" customHeight="1" s="15">
      <c r="A36" s="20" t="inlineStr">
        <is>
          <t>Fysieke &amp; infrastructuurlaag</t>
        </is>
      </c>
      <c r="B36" s="20" t="inlineStr">
        <is>
          <t>Netten, gebouwen &amp; assets</t>
        </is>
      </c>
      <c r="C36" s="20" t="inlineStr">
        <is>
          <t>Het fysieke systeem: elektriciteits-, gas- en warmtenetten, gebouwen, installaties, openbare ruimte.</t>
        </is>
      </c>
      <c r="D36" s="20" t="inlineStr">
        <is>
          <t>Zijn het onderwerp van representatie; ontvangen sturing bij een volwaardige tweeling.</t>
        </is>
      </c>
      <c r="E36" s="20" t="inlineStr">
        <is>
          <t>SGAM (component), ISO/IEC 30173</t>
        </is>
      </c>
      <c r="F36" s="20" t="inlineStr">
        <is>
          <t>DT-036, DT-115</t>
        </is>
      </c>
    </row>
    <row r="37" ht="15" customHeight="1" s="15">
      <c r="A37" s="20" t="inlineStr">
        <is>
          <t>Fysieke &amp; infrastructuurlaag</t>
        </is>
      </c>
      <c r="B37" s="20" t="inlineStr">
        <is>
          <t>Sensoren, SCADA &amp; actuatoren</t>
        </is>
      </c>
      <c r="C37" s="20" t="inlineStr">
        <is>
          <t>Meet- en stuurmiddelen in het veld en in de bedrijfsvoering.</t>
        </is>
      </c>
      <c r="D37" s="20" t="inlineStr">
        <is>
          <t>Leveren streams aan ingestie; voeren stuurcommando's uit.</t>
        </is>
      </c>
      <c r="E37" s="20" t="inlineStr">
        <is>
          <t>SGAM, DTC</t>
        </is>
      </c>
      <c r="F37" s="20" t="inlineStr">
        <is>
          <t>DT-041, DT-024</t>
        </is>
      </c>
    </row>
    <row r="38" ht="15" customHeight="1" s="15">
      <c r="A38" s="20" t="inlineStr">
        <is>
          <t>Fysieke &amp; infrastructuurlaag</t>
        </is>
      </c>
      <c r="B38" s="20" t="inlineStr">
        <is>
          <t>Datanetwerken</t>
        </is>
      </c>
      <c r="C38" s="20" t="inlineStr">
        <is>
          <t>Communicatie tussen veld, systemen en twins.</t>
        </is>
      </c>
      <c r="D38" s="20" t="inlineStr">
        <is>
          <t>Dragen streaming en sturing; vallen onder cyberbeveiliging.</t>
        </is>
      </c>
      <c r="E38" s="20" t="inlineStr">
        <is>
          <t>SGAM (communicatie)</t>
        </is>
      </c>
      <c r="F38" s="20" t="inlineStr">
        <is>
          <t>-</t>
        </is>
      </c>
    </row>
    <row r="39" ht="28.35" customHeight="1" s="15">
      <c r="A39" s="20" t="inlineStr">
        <is>
          <t>Fysieke &amp; infrastructuurlaag</t>
        </is>
      </c>
      <c r="B39" s="20" t="inlineStr">
        <is>
          <t>Compute, cloud &amp; HPC</t>
        </is>
      </c>
      <c r="C39" s="20" t="inlineStr">
        <is>
          <t>Rekenkracht en opslag voor simulatie, AI en visualisatie, soeverein waar nodig.</t>
        </is>
      </c>
      <c r="D39" s="20" t="inlineStr">
        <is>
          <t>Draagt alle lagen; kosten en locatie worden bewaakt in TwinOps.</t>
        </is>
      </c>
      <c r="E39" s="20" t="inlineStr">
        <is>
          <t>Destination Earth, Gaia-X</t>
        </is>
      </c>
      <c r="F39" s="20" t="inlineStr">
        <is>
          <t>DT-101, DT-038</t>
        </is>
      </c>
    </row>
    <row r="40" ht="28.35" customHeight="1" s="15">
      <c r="A40" s="20" t="inlineStr">
        <is>
          <t>Fysieke &amp; infrastructuurlaag</t>
        </is>
      </c>
      <c r="B40" s="20" t="inlineStr">
        <is>
          <t>Labs &amp; hardware-in-the-loop</t>
        </is>
      </c>
      <c r="C40" s="20" t="inlineStr">
        <is>
          <t>Fysieke testomgevingen waarin twins worden gevalideerd tegen echte apparatuur.</t>
        </is>
      </c>
      <c r="D40" s="20" t="inlineStr">
        <is>
          <t>Leveren validatie voor modellen en sturing; onderdeel van testbeds.</t>
        </is>
      </c>
      <c r="E40" s="20" t="inlineStr">
        <is>
          <t>ESP-lab, ARIES, ENET-RTLab</t>
        </is>
      </c>
      <c r="F40" s="20" t="inlineStr">
        <is>
          <t>DT-014, DT-133, DT-121</t>
        </is>
      </c>
    </row>
    <row r="41" ht="28.35" customHeight="1" s="15">
      <c r="A41" s="20" t="inlineStr">
        <is>
          <t>Cross-cutting: Stelsel, governance &amp; publieke waarden</t>
        </is>
      </c>
      <c r="B41" s="20" t="inlineStr">
        <is>
          <t>Leidende principes &amp; publieke waarden</t>
        </is>
      </c>
      <c r="C41" s="20" t="inlineStr">
        <is>
          <t>De DTFL-pijlers doel, vertrouwen, mensen en effectiviteit, uitgewerkt in ontwerpprincipes (A.7).</t>
        </is>
      </c>
      <c r="D41" s="20" t="inlineStr">
        <is>
          <t>Sturen alle ontwerpkeuzes; worden getoetst in de architectuurtoets.</t>
        </is>
      </c>
      <c r="E41" s="20" t="inlineStr">
        <is>
          <t>DTFL, Gemini Principles</t>
        </is>
      </c>
      <c r="F41" s="20" t="inlineStr">
        <is>
          <t>DT-006, DT-102</t>
        </is>
      </c>
    </row>
    <row r="42" ht="55.2" customHeight="1" s="15">
      <c r="A42" s="20" t="inlineStr">
        <is>
          <t>Cross-cutting: Stelsel, governance &amp; publieke waarden</t>
        </is>
      </c>
      <c r="B42" s="20" t="inlineStr">
        <is>
          <t>Stelselafspraken &amp; aansluitvoorwaarden</t>
        </is>
      </c>
      <c r="C42" s="20" t="inlineStr">
        <is>
          <t>Afspraken over aansluiten, kwaliteit, privacy, informatiebeveiliging, autorisatie, doorlevering, aansprakelijkheid, contractering, correctieplicht, eigenaarschap en financiën.</t>
        </is>
      </c>
      <c r="D42" s="20" t="inlineStr">
        <is>
          <t>Vastgelegd per stelsel; afgedwongen via het trust framework.</t>
        </is>
      </c>
      <c r="E42" s="20" t="inlineStr">
        <is>
          <t>DTFL stelselafspraken, Het Normo, DSGO</t>
        </is>
      </c>
      <c r="F42" s="20" t="inlineStr">
        <is>
          <t>DT-066, DT-008</t>
        </is>
      </c>
    </row>
    <row r="43" ht="28.35" customHeight="1" s="15">
      <c r="A43" s="20" t="inlineStr">
        <is>
          <t>Cross-cutting: Stelsel, governance &amp; publieke waarden</t>
        </is>
      </c>
      <c r="B43" s="20" t="inlineStr">
        <is>
          <t>Rollen, eigenaarschap &amp; governance board</t>
        </is>
      </c>
      <c r="C43" s="20" t="inlineStr">
        <is>
          <t>Wie beslist over standaarden, voorzieningen en toetreding (DTFL: Governance Board, Platform, Overleg Beheer).</t>
        </is>
      </c>
      <c r="D43" s="20" t="inlineStr">
        <is>
          <t>Stuurt het ecosysteem; koppelt aan bestuurlijke kaders (ADE, NLDT).</t>
        </is>
      </c>
      <c r="E43" s="20" t="inlineStr">
        <is>
          <t>DTFL, NLDT, NESO</t>
        </is>
      </c>
      <c r="F43" s="20" t="inlineStr">
        <is>
          <t>DT-002, DT-006, DT-130</t>
        </is>
      </c>
    </row>
    <row r="44" ht="28.35" customHeight="1" s="15">
      <c r="A44" s="20" t="inlineStr">
        <is>
          <t>Cross-cutting: Stelsel, governance &amp; publieke waarden</t>
        </is>
      </c>
      <c r="B44" s="20" t="inlineStr">
        <is>
          <t>Validatie, kwaliteit &amp; certificering</t>
        </is>
      </c>
      <c r="C44" s="20" t="inlineStr">
        <is>
          <t>Toetsing en eventueel keurmerk van twins, modellen en dataproducten voor een bepaald gebruik.</t>
        </is>
      </c>
      <c r="D44" s="20" t="inlineStr">
        <is>
          <t>Gebruikt validatieresultaten uit de twin-kern; voorwaarde voor federatie.</t>
        </is>
      </c>
      <c r="E44" s="20" t="inlineStr">
        <is>
          <t>Gemini, NESO Common Framework, DTC</t>
        </is>
      </c>
      <c r="F44" s="20" t="inlineStr">
        <is>
          <t>-</t>
        </is>
      </c>
    </row>
    <row r="45" ht="28.35" customHeight="1" s="15">
      <c r="A45" s="20" t="inlineStr">
        <is>
          <t>Cross-cutting: Stelsel, governance &amp; publieke waarden</t>
        </is>
      </c>
      <c r="B45" s="20" t="inlineStr">
        <is>
          <t>Model- &amp; datagovernance</t>
        </is>
      </c>
      <c r="C45" s="20" t="inlineStr">
        <is>
          <t>Eigenaarschap, levenscyclus en verantwoording van modellen en data.</t>
        </is>
      </c>
      <c r="D45" s="20" t="inlineStr">
        <is>
          <t>Werkt via catalogus en modelregister; sluit aan op DAMA en de AI-RA.</t>
        </is>
      </c>
      <c r="E45" s="20" t="inlineStr">
        <is>
          <t>DTFL, AI-RA</t>
        </is>
      </c>
      <c r="F45" s="20" t="inlineStr">
        <is>
          <t>-</t>
        </is>
      </c>
    </row>
    <row r="46" ht="28.35" customHeight="1" s="15">
      <c r="A46" s="20" t="inlineStr">
        <is>
          <t>Cross-cutting: Stelsel, governance &amp; publieke waarden</t>
        </is>
      </c>
      <c r="B46" s="20" t="inlineStr">
        <is>
          <t>Conformiteit &amp; architectuurtoets</t>
        </is>
      </c>
      <c r="C46" s="20" t="inlineStr">
        <is>
          <t>Toets van nieuwe initiatieven aan principes, standaarden en de RA (zie A.9).</t>
        </is>
      </c>
      <c r="D46" s="20" t="inlineStr">
        <is>
          <t>Gebruikt het register en de mapping in A.4.3.</t>
        </is>
      </c>
      <c r="E46" s="20" t="inlineStr">
        <is>
          <t>NEDRA, NORA, DTFL</t>
        </is>
      </c>
      <c r="F46" s="20" t="inlineStr">
        <is>
          <t>DT-003</t>
        </is>
      </c>
    </row>
    <row r="47" ht="28.35" customHeight="1" s="15">
      <c r="A47" s="20" t="inlineStr">
        <is>
          <t>Cross-cutting: Stelsel, governance &amp; publieke waarden</t>
        </is>
      </c>
      <c r="B47" s="20" t="inlineStr">
        <is>
          <t>Financiering &amp; verdienmodel</t>
        </is>
      </c>
      <c r="C47" s="20" t="inlineStr">
        <is>
          <t>Wie betaalt voor gedeelde voorzieningen en hoe kosten en baten worden verdeeld.</t>
        </is>
      </c>
      <c r="D47" s="20" t="inlineStr">
        <is>
          <t>Raakt eigenaarschap en continuïteit; zie optie O2/O3 in de verkenning.</t>
        </is>
      </c>
      <c r="E47" s="20" t="inlineStr">
        <is>
          <t>DTFL (financiële aspecten), NESO, Vinnova</t>
        </is>
      </c>
      <c r="F47" s="20" t="inlineStr">
        <is>
          <t>-</t>
        </is>
      </c>
    </row>
    <row r="48" ht="28.35" customHeight="1" s="15">
      <c r="A48" s="20" t="inlineStr">
        <is>
          <t>Cross-cutting: Federatie, trust &amp; operations</t>
        </is>
      </c>
      <c r="B48" s="20" t="inlineStr">
        <is>
          <t>Federatieve catalogus &amp; publicatie</t>
        </is>
      </c>
      <c r="C48" s="20" t="inlineStr">
        <is>
          <t>Index van twins, dataproducten, modellen en diensten met metadata; publicatieproces.</t>
        </is>
      </c>
      <c r="D48" s="20" t="inlineStr">
        <is>
          <t>Verbindt alle lagen; doorzocht door toepassingen en andere twins.</t>
        </is>
      </c>
      <c r="E48" s="20" t="inlineStr">
        <is>
          <t>DTFL (federatieve catalogus), DCAT-AP, ENTSO-E</t>
        </is>
      </c>
      <c r="F48" s="20" t="inlineStr">
        <is>
          <t>DT-067, DT-017</t>
        </is>
      </c>
    </row>
    <row r="49" ht="41.75" customHeight="1" s="15">
      <c r="A49" s="20" t="inlineStr">
        <is>
          <t>Cross-cutting: Federatie, trust &amp; operations</t>
        </is>
      </c>
      <c r="B49" s="20" t="inlineStr">
        <is>
          <t>IAA &amp; identiteitsfederatie</t>
        </is>
      </c>
      <c r="C49" s="20" t="inlineStr">
        <is>
          <t>Identificatie, authenticatie en autorisatie van mensen en machines over organisaties heen (eHerkenning, iSHARE, verifiable credentials).</t>
        </is>
      </c>
      <c r="D49" s="20" t="inlineStr">
        <is>
          <t>Voorwaarde voor toegang tot dataproducten en diensten; logt gebruik.</t>
        </is>
      </c>
      <c r="E49" s="20" t="inlineStr">
        <is>
          <t>DTFL, iSHARE, DSGO</t>
        </is>
      </c>
      <c r="F49" s="20" t="inlineStr">
        <is>
          <t>DT-008</t>
        </is>
      </c>
    </row>
    <row r="50" ht="28.35" customHeight="1" s="15">
      <c r="A50" s="20" t="inlineStr">
        <is>
          <t>Cross-cutting: Federatie, trust &amp; operations</t>
        </is>
      </c>
      <c r="B50" s="20" t="inlineStr">
        <is>
          <t>Trust framework &amp; datasoevereiniteit</t>
        </is>
      </c>
      <c r="C50" s="20" t="inlineStr">
        <is>
          <t>Afsprakenstelsel en techniek waarmee de aanbieder voorwaarden aan gebruik stelt en die worden nageleefd.</t>
        </is>
      </c>
      <c r="D50" s="20" t="inlineStr">
        <is>
          <t>Concretiseert stelselafspraken; gebruikt door dataspace-connectoren.</t>
        </is>
      </c>
      <c r="E50" s="20" t="inlineStr">
        <is>
          <t>DTFL, Het Normo, IDS/Gaia-X, CEEDS</t>
        </is>
      </c>
      <c r="F50" s="20" t="inlineStr">
        <is>
          <t>DT-066, DT-068</t>
        </is>
      </c>
    </row>
    <row r="51" ht="28.35" customHeight="1" s="15">
      <c r="A51" s="20" t="inlineStr">
        <is>
          <t>Cross-cutting: Federatie, trust &amp; operations</t>
        </is>
      </c>
      <c r="B51" s="20" t="inlineStr">
        <is>
          <t>Compliance &amp; systeemmonitoring</t>
        </is>
      </c>
      <c r="C51" s="20" t="inlineStr">
        <is>
          <t>Bewaking van naleving, beschikbaarheid, kwaliteit en gebruik van stelselvoorzieningen.</t>
        </is>
      </c>
      <c r="D51" s="20" t="inlineStr">
        <is>
          <t>Rapporteert aan governance; voedt correctieplicht en verbetering.</t>
        </is>
      </c>
      <c r="E51" s="20" t="inlineStr">
        <is>
          <t>DTFL (compliance, monitoring)</t>
        </is>
      </c>
      <c r="F51" s="20" t="inlineStr">
        <is>
          <t>-</t>
        </is>
      </c>
    </row>
    <row r="52" ht="28.35" customHeight="1" s="15">
      <c r="A52" s="20" t="inlineStr">
        <is>
          <t>Cross-cutting: Federatie, trust &amp; operations</t>
        </is>
      </c>
      <c r="B52" s="20" t="inlineStr">
        <is>
          <t>Informatiebeveiliging &amp; cyberweerbaarheid</t>
        </is>
      </c>
      <c r="C52" s="20" t="inlineStr">
        <is>
          <t>Beveiliging van data, modellen en vooral sturingskoppelingen (NIS2, IEC 62351, BIO).</t>
        </is>
      </c>
      <c r="D52" s="20" t="inlineStr">
        <is>
          <t>Extra zwaar bij tweerichtingskoppeling met kritieke infrastructuur.</t>
        </is>
      </c>
      <c r="E52" s="20" t="inlineStr">
        <is>
          <t>SGAM, Southern Company, DTFL</t>
        </is>
      </c>
      <c r="F52" s="20" t="inlineStr">
        <is>
          <t>DT-135</t>
        </is>
      </c>
    </row>
    <row r="53" ht="28.35" customHeight="1" s="15">
      <c r="A53" s="20" t="inlineStr">
        <is>
          <t>Cross-cutting: Federatie, trust &amp; operations</t>
        </is>
      </c>
      <c r="B53" s="20" t="inlineStr">
        <is>
          <t>TwinOps: levenscyclus, observability &amp; kosten</t>
        </is>
      </c>
      <c r="C53" s="20" t="inlineStr">
        <is>
          <t>Beheer van versies, uitrol, prestaties en kosten van twins en modellen.</t>
        </is>
      </c>
      <c r="D53" s="20" t="inlineStr">
        <is>
          <t>Draagt continuïteit na de projectfase; koppelt aan financiering.</t>
        </is>
      </c>
      <c r="E53" s="20" t="inlineStr">
        <is>
          <t>DTC (Management), AI-RA (MLOps/FinOps)</t>
        </is>
      </c>
      <c r="F53" s="20" t="inlineStr">
        <is>
          <t>-</t>
        </is>
      </c>
    </row>
    <row r="54" ht="15" customHeight="1" s="15">
      <c r="A54" s="20" t="n"/>
      <c r="B54" s="20" t="n"/>
      <c r="C54" s="20" t="n"/>
      <c r="D54" s="20" t="n"/>
      <c r="E54" s="20" t="n"/>
      <c r="F54" s="20" t="n"/>
    </row>
    <row r="55" ht="15" customHeight="1" s="15">
      <c r="A55" s="20" t="inlineStr">
        <is>
          <t>Inzetspectrum (bijlage B.8.2)</t>
        </is>
      </c>
      <c r="B55" s="20" t="inlineStr">
        <is>
          <t>Niveau</t>
        </is>
      </c>
      <c r="C55" s="20" t="inlineStr">
        <is>
          <t>Synchronisatie</t>
        </is>
      </c>
      <c r="D55" s="20" t="inlineStr">
        <is>
          <t>Governance-intensiteit</t>
        </is>
      </c>
      <c r="E55" s="20" t="inlineStr">
        <is>
          <t>Typering</t>
        </is>
      </c>
      <c r="F55" s="20" t="inlineStr">
        <is>
          <t>Voorbeelden (ID's)</t>
        </is>
      </c>
    </row>
    <row r="56" ht="28.35" customHeight="1" s="15">
      <c r="A56" s="20" t="n"/>
      <c r="B56" s="20" t="inlineStr">
        <is>
          <t>1. Digitaal model</t>
        </is>
      </c>
      <c r="C56" s="20" t="inlineStr">
        <is>
          <t>Geen: handmatig bijgewerkt</t>
        </is>
      </c>
      <c r="D56" s="20" t="inlineStr">
        <is>
          <t>Minimaal</t>
        </is>
      </c>
      <c r="E56" s="20" t="inlineStr">
        <is>
          <t>Statische representatie voor ontwerp of analyse</t>
        </is>
      </c>
      <c r="F56" s="20" t="inlineStr">
        <is>
          <t>DT-074, DT-140</t>
        </is>
      </c>
    </row>
    <row r="57" ht="15" customHeight="1" s="15">
      <c r="A57" s="20" t="n"/>
      <c r="B57" s="20" t="inlineStr">
        <is>
          <t>2. Digitale schaduw</t>
        </is>
      </c>
      <c r="C57" s="20" t="inlineStr">
        <is>
          <t>Automatisch, eenrichting (fysiek naar digitaal)</t>
        </is>
      </c>
      <c r="D57" s="20" t="inlineStr">
        <is>
          <t>Basis</t>
        </is>
      </c>
      <c r="E57" s="20" t="inlineStr">
        <is>
          <t>Actueel beeld en monitoring</t>
        </is>
      </c>
      <c r="F57" s="20" t="inlineStr">
        <is>
          <t>DT-035, DT-052</t>
        </is>
      </c>
    </row>
    <row r="58" ht="15" customHeight="1" s="15">
      <c r="A58" s="20" t="n"/>
      <c r="B58" s="20" t="inlineStr">
        <is>
          <t>3. Voorspellende schaduw</t>
        </is>
      </c>
      <c r="C58" s="20" t="inlineStr">
        <is>
          <t>Automatisch, eenrichting, met prognoses</t>
        </is>
      </c>
      <c r="D58" s="20" t="inlineStr">
        <is>
          <t>Midden</t>
        </is>
      </c>
      <c r="E58" s="20" t="inlineStr">
        <is>
          <t>Diagnose en voorspelling</t>
        </is>
      </c>
      <c r="F58" s="20" t="inlineStr">
        <is>
          <t>DT-039, DT-042</t>
        </is>
      </c>
    </row>
    <row r="59" ht="28.35" customHeight="1" s="15">
      <c r="A59" s="20" t="n"/>
      <c r="B59" s="20" t="inlineStr">
        <is>
          <t>4. Scenario-tweeling</t>
        </is>
      </c>
      <c r="C59" s="20" t="inlineStr">
        <is>
          <t>Eenrichting plus varianten en 'wat als'</t>
        </is>
      </c>
      <c r="D59" s="20" t="inlineStr">
        <is>
          <t>Midden-hoog</t>
        </is>
      </c>
      <c r="E59" s="20" t="inlineStr">
        <is>
          <t>Advies voor plan- en beleidsbesluiten</t>
        </is>
      </c>
      <c r="F59" s="20" t="inlineStr">
        <is>
          <t>DT-031, DT-049, DT-001</t>
        </is>
      </c>
    </row>
    <row r="60" ht="15" customHeight="1" s="15">
      <c r="A60" s="20" t="n"/>
      <c r="B60" s="20" t="inlineStr">
        <is>
          <t>5. Sturende tweeling</t>
        </is>
      </c>
      <c r="C60" s="20" t="inlineStr">
        <is>
          <t>Tweerichting: besluiten terug naar het fysieke systeem</t>
        </is>
      </c>
      <c r="D60" s="20" t="inlineStr">
        <is>
          <t>Hoog</t>
        </is>
      </c>
      <c r="E60" s="20" t="inlineStr">
        <is>
          <t>Operationele sturing onder mandaat</t>
        </is>
      </c>
      <c r="F60" s="20" t="inlineStr">
        <is>
          <t>DT-043, DT-104</t>
        </is>
      </c>
    </row>
    <row r="61" ht="28.35" customHeight="1" s="15">
      <c r="A61" s="20" t="n"/>
      <c r="B61" s="20" t="inlineStr">
        <is>
          <t>6. Federatieve tweeling</t>
        </is>
      </c>
      <c r="C61" s="20" t="inlineStr">
        <is>
          <t>Tweerichting tussen twins van verschillende eigenaren</t>
        </is>
      </c>
      <c r="D61" s="20" t="inlineStr">
        <is>
          <t>Maximaal</t>
        </is>
      </c>
      <c r="E61" s="20" t="inlineStr">
        <is>
          <t>Organisatie-overstijgende samenwerking</t>
        </is>
      </c>
      <c r="F61" s="20" t="inlineStr">
        <is>
          <t>DT-099, DT-130</t>
        </is>
      </c>
    </row>
  </sheetData>
  <autoFilter ref="A1:F53"/>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2026-10-19T11:37:09Z</dcterms:created>
  <dcterms:modified xmlns:dcterms="http://purl.org/dc/terms/" xmlns:xsi="http://www.w3.org/2001/XMLSchema-instance" xsi:type="dcterms:W3CDTF">2026-10-26T14:16:02Z</dcterms:modified>
  <cp:revision>0</cp:revision>
</cp:coreProperties>
</file>